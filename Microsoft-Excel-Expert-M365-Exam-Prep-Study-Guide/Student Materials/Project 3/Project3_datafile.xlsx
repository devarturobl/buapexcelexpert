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01_{79C7DF82-1EEB-42DF-9C1A-F13048AA4ACD}" xr6:coauthVersionLast="47" xr6:coauthVersionMax="47" xr10:uidLastSave="{00000000-0000-0000-0000-000000000000}"/>
  <bookViews>
    <workbookView xWindow="-26880" yWindow="2655" windowWidth="25575" windowHeight="14175" tabRatio="750" firstSheet="1" activeTab="5" xr2:uid="{8BBC453B-9A4B-4CB6-99AB-8193B42F8C65}"/>
  </bookViews>
  <sheets>
    <sheet name="OrderArrival" sheetId="1" r:id="rId1"/>
    <sheet name="Postal holidays 2022-2023" sheetId="24" r:id="rId2"/>
    <sheet name="Sales" sheetId="2" r:id="rId3"/>
    <sheet name="Sales Discounts" sheetId="23" r:id="rId4"/>
    <sheet name="Sales by City" sheetId="11" r:id="rId5"/>
    <sheet name="Frequency by County" sheetId="26" r:id="rId6"/>
    <sheet name="Financing" sheetId="17" r:id="rId7"/>
    <sheet name="Summer Sales Scenarios" sheetId="16" r:id="rId8"/>
    <sheet name="Revenue &amp; Costs" sheetId="22" r:id="rId9"/>
    <sheet name="Projected Sales" sheetId="20" r:id="rId10"/>
  </sheets>
  <definedNames>
    <definedName name="_xlnm._FilterDatabase" localSheetId="2" hidden="1">Sales!$A$1:$T$307</definedName>
    <definedName name="Cities">#REF!</definedName>
    <definedName name="counties">#REF!</definedName>
    <definedName name="PostalHolidays">'Postal holidays 2022-2023'!$B$2:$B$23</definedName>
    <definedName name="Product_ID">OrderArrival!$B$2:$B$14</definedName>
    <definedName name="Products">#REF!</definedName>
    <definedName name="ProductsData">OrderArrival!$A$2:$D$14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6" l="1"/>
  <c r="B7" i="22" l="1"/>
  <c r="B15" i="22" s="1"/>
  <c r="B13" i="22"/>
  <c r="C7" i="20"/>
  <c r="F4" i="20" s="1"/>
  <c r="E5" i="20"/>
  <c r="C9" i="20"/>
  <c r="E7" i="16"/>
  <c r="E6" i="16"/>
  <c r="E5" i="16"/>
  <c r="E4" i="16"/>
  <c r="P307" i="2" l="1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T274" i="2" s="1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T242" i="2" s="1"/>
  <c r="P241" i="2"/>
  <c r="T241" i="2" s="1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T226" i="2" s="1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T213" i="2" s="1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T194" i="2" s="1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T178" i="2" s="1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T162" i="2" s="1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T129" i="2" s="1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T238" i="2" l="1"/>
  <c r="T230" i="2"/>
  <c r="T294" i="2"/>
  <c r="T12" i="2"/>
  <c r="T222" i="2"/>
  <c r="T254" i="2"/>
  <c r="T273" i="2"/>
  <c r="T285" i="2"/>
  <c r="T143" i="2"/>
  <c r="T177" i="2"/>
  <c r="T278" i="2"/>
  <c r="T182" i="2"/>
  <c r="T206" i="2"/>
  <c r="T79" i="2"/>
  <c r="T209" i="2"/>
  <c r="T270" i="2"/>
  <c r="T89" i="2"/>
  <c r="T292" i="2"/>
  <c r="T174" i="2"/>
  <c r="T200" i="2"/>
  <c r="T277" i="2"/>
  <c r="T181" i="2"/>
  <c r="T210" i="2"/>
  <c r="T21" i="2"/>
  <c r="T49" i="2"/>
  <c r="T59" i="2"/>
  <c r="T88" i="2"/>
  <c r="T113" i="2"/>
  <c r="T158" i="2"/>
  <c r="T197" i="2"/>
  <c r="T246" i="2"/>
  <c r="T302" i="2"/>
  <c r="T38" i="2"/>
  <c r="T131" i="2"/>
  <c r="T140" i="2"/>
  <c r="T253" i="2"/>
  <c r="T64" i="2"/>
  <c r="T105" i="2"/>
  <c r="T214" i="2"/>
  <c r="T18" i="2"/>
  <c r="T27" i="2"/>
  <c r="T33" i="2"/>
  <c r="T40" i="2"/>
  <c r="T47" i="2"/>
  <c r="T51" i="2"/>
  <c r="T67" i="2"/>
  <c r="T77" i="2"/>
  <c r="T87" i="2"/>
  <c r="T126" i="2"/>
  <c r="T145" i="2"/>
  <c r="T156" i="2"/>
  <c r="T190" i="2"/>
  <c r="T245" i="2"/>
  <c r="T290" i="2"/>
  <c r="T39" i="2"/>
  <c r="T73" i="2"/>
  <c r="T86" i="2"/>
  <c r="T97" i="2"/>
  <c r="T118" i="2"/>
  <c r="T165" i="2"/>
  <c r="T166" i="2"/>
  <c r="T56" i="2"/>
  <c r="T63" i="2"/>
  <c r="T91" i="2"/>
  <c r="T94" i="2"/>
  <c r="T148" i="2"/>
  <c r="T188" i="2"/>
  <c r="T229" i="2"/>
  <c r="T261" i="2"/>
  <c r="T301" i="2"/>
  <c r="T99" i="2"/>
  <c r="T173" i="2"/>
  <c r="T232" i="2"/>
  <c r="T264" i="2"/>
  <c r="T286" i="2"/>
  <c r="T2" i="2"/>
  <c r="T80" i="2"/>
  <c r="T115" i="2"/>
  <c r="T121" i="2"/>
  <c r="T142" i="2"/>
  <c r="T31" i="2"/>
  <c r="T75" i="2"/>
  <c r="T168" i="2"/>
  <c r="T7" i="2"/>
  <c r="T25" i="2"/>
  <c r="T36" i="2"/>
  <c r="T112" i="2"/>
  <c r="T139" i="2"/>
  <c r="T150" i="2"/>
  <c r="T305" i="2"/>
  <c r="T16" i="2"/>
  <c r="T120" i="2"/>
  <c r="T24" i="2"/>
  <c r="T41" i="2"/>
  <c r="T53" i="2"/>
  <c r="T104" i="2"/>
  <c r="T157" i="2"/>
  <c r="T221" i="2"/>
  <c r="T3" i="2"/>
  <c r="T35" i="2"/>
  <c r="T96" i="2"/>
  <c r="T134" i="2"/>
  <c r="T138" i="2"/>
  <c r="T180" i="2"/>
  <c r="T212" i="2"/>
  <c r="T244" i="2"/>
  <c r="T276" i="2"/>
  <c r="T123" i="2"/>
  <c r="T30" i="2"/>
  <c r="T107" i="2"/>
  <c r="T220" i="2"/>
  <c r="T252" i="2"/>
  <c r="T258" i="2"/>
  <c r="T262" i="2"/>
  <c r="T293" i="2"/>
  <c r="T298" i="2"/>
  <c r="T81" i="2"/>
  <c r="T189" i="2"/>
  <c r="T52" i="2"/>
  <c r="T9" i="2"/>
  <c r="T48" i="2"/>
  <c r="T72" i="2"/>
  <c r="T137" i="2"/>
  <c r="T289" i="2"/>
  <c r="T83" i="2"/>
  <c r="T149" i="2"/>
  <c r="T44" i="2"/>
  <c r="T76" i="2"/>
  <c r="T11" i="2"/>
  <c r="T8" i="2"/>
  <c r="T28" i="2"/>
  <c r="T43" i="2"/>
  <c r="T110" i="2"/>
  <c r="T136" i="2"/>
  <c r="T147" i="2"/>
  <c r="T161" i="2"/>
  <c r="T193" i="2"/>
  <c r="T198" i="2"/>
  <c r="T205" i="2"/>
  <c r="T225" i="2"/>
  <c r="T237" i="2"/>
  <c r="T257" i="2"/>
  <c r="T269" i="2"/>
  <c r="T10" i="2"/>
  <c r="T17" i="2"/>
  <c r="T19" i="2"/>
  <c r="T55" i="2"/>
  <c r="T84" i="2"/>
  <c r="T102" i="2"/>
  <c r="T128" i="2"/>
  <c r="T164" i="2"/>
  <c r="T196" i="2"/>
  <c r="T228" i="2"/>
  <c r="T260" i="2"/>
  <c r="T300" i="2"/>
  <c r="T32" i="2"/>
  <c r="T4" i="2"/>
  <c r="T13" i="2"/>
  <c r="T22" i="2"/>
  <c r="T26" i="2"/>
  <c r="T15" i="2"/>
  <c r="T61" i="2"/>
  <c r="T69" i="2"/>
  <c r="T6" i="2"/>
  <c r="T20" i="2"/>
  <c r="T57" i="2"/>
  <c r="T65" i="2"/>
  <c r="T85" i="2"/>
  <c r="T23" i="2"/>
  <c r="T5" i="2"/>
  <c r="T14" i="2"/>
  <c r="T60" i="2"/>
  <c r="T68" i="2"/>
  <c r="T70" i="2"/>
  <c r="T306" i="2"/>
  <c r="T66" i="2"/>
  <c r="T95" i="2"/>
  <c r="T103" i="2"/>
  <c r="T111" i="2"/>
  <c r="T119" i="2"/>
  <c r="T127" i="2"/>
  <c r="T135" i="2"/>
  <c r="T172" i="2"/>
  <c r="T204" i="2"/>
  <c r="T236" i="2"/>
  <c r="T268" i="2"/>
  <c r="T296" i="2"/>
  <c r="T82" i="2"/>
  <c r="T62" i="2"/>
  <c r="T58" i="2"/>
  <c r="T54" i="2"/>
  <c r="T50" i="2"/>
  <c r="T78" i="2"/>
  <c r="T93" i="2"/>
  <c r="T101" i="2"/>
  <c r="T109" i="2"/>
  <c r="T117" i="2"/>
  <c r="T125" i="2"/>
  <c r="T133" i="2"/>
  <c r="T284" i="2"/>
  <c r="T46" i="2"/>
  <c r="T74" i="2"/>
  <c r="T90" i="2"/>
  <c r="T92" i="2"/>
  <c r="T98" i="2"/>
  <c r="T100" i="2"/>
  <c r="T106" i="2"/>
  <c r="T108" i="2"/>
  <c r="T114" i="2"/>
  <c r="T116" i="2"/>
  <c r="T122" i="2"/>
  <c r="T124" i="2"/>
  <c r="T130" i="2"/>
  <c r="T132" i="2"/>
  <c r="T152" i="2"/>
  <c r="T184" i="2"/>
  <c r="T216" i="2"/>
  <c r="T248" i="2"/>
  <c r="T280" i="2"/>
  <c r="T29" i="2"/>
  <c r="T34" i="2"/>
  <c r="T37" i="2"/>
  <c r="T42" i="2"/>
  <c r="T45" i="2"/>
  <c r="T71" i="2"/>
  <c r="T151" i="2"/>
  <c r="T155" i="2"/>
  <c r="T167" i="2"/>
  <c r="T171" i="2"/>
  <c r="T183" i="2"/>
  <c r="T187" i="2"/>
  <c r="T199" i="2"/>
  <c r="T203" i="2"/>
  <c r="T215" i="2"/>
  <c r="T219" i="2"/>
  <c r="T231" i="2"/>
  <c r="T235" i="2"/>
  <c r="T247" i="2"/>
  <c r="T251" i="2"/>
  <c r="T263" i="2"/>
  <c r="T267" i="2"/>
  <c r="T279" i="2"/>
  <c r="T283" i="2"/>
  <c r="T295" i="2"/>
  <c r="T299" i="2"/>
  <c r="T146" i="2"/>
  <c r="T154" i="2"/>
  <c r="T160" i="2"/>
  <c r="T170" i="2"/>
  <c r="T176" i="2"/>
  <c r="T186" i="2"/>
  <c r="T192" i="2"/>
  <c r="T202" i="2"/>
  <c r="T208" i="2"/>
  <c r="T218" i="2"/>
  <c r="T224" i="2"/>
  <c r="T234" i="2"/>
  <c r="T240" i="2"/>
  <c r="T250" i="2"/>
  <c r="T256" i="2"/>
  <c r="T266" i="2"/>
  <c r="T272" i="2"/>
  <c r="T282" i="2"/>
  <c r="T288" i="2"/>
  <c r="T304" i="2"/>
  <c r="T141" i="2"/>
  <c r="T144" i="2"/>
  <c r="T159" i="2"/>
  <c r="T163" i="2"/>
  <c r="T175" i="2"/>
  <c r="T179" i="2"/>
  <c r="T191" i="2"/>
  <c r="T195" i="2"/>
  <c r="T207" i="2"/>
  <c r="T211" i="2"/>
  <c r="T223" i="2"/>
  <c r="T227" i="2"/>
  <c r="T239" i="2"/>
  <c r="T243" i="2"/>
  <c r="T255" i="2"/>
  <c r="T259" i="2"/>
  <c r="T271" i="2"/>
  <c r="T275" i="2"/>
  <c r="T287" i="2"/>
  <c r="T291" i="2"/>
  <c r="T303" i="2"/>
  <c r="T153" i="2"/>
  <c r="T169" i="2"/>
  <c r="T185" i="2"/>
  <c r="T201" i="2"/>
  <c r="T217" i="2"/>
  <c r="T233" i="2"/>
  <c r="T249" i="2"/>
  <c r="T265" i="2"/>
  <c r="T281" i="2"/>
  <c r="T297" i="2"/>
  <c r="T307" i="2"/>
</calcChain>
</file>

<file path=xl/sharedStrings.xml><?xml version="1.0" encoding="utf-8"?>
<sst xmlns="http://schemas.openxmlformats.org/spreadsheetml/2006/main" count="2636" uniqueCount="312">
  <si>
    <t>Category</t>
  </si>
  <si>
    <t>Product ID</t>
  </si>
  <si>
    <t>Product name</t>
  </si>
  <si>
    <t>Price (each)</t>
  </si>
  <si>
    <t>Organic soap</t>
  </si>
  <si>
    <t>OS-1</t>
  </si>
  <si>
    <t>Oatmeal soap</t>
  </si>
  <si>
    <t>OS-2</t>
  </si>
  <si>
    <t>Strawberry summer soap</t>
  </si>
  <si>
    <t>OS-3</t>
  </si>
  <si>
    <t>Goat milk soap</t>
  </si>
  <si>
    <t>Honey</t>
  </si>
  <si>
    <t>H-1</t>
  </si>
  <si>
    <t>Clover honey</t>
  </si>
  <si>
    <t>H-2</t>
  </si>
  <si>
    <t>Wildflower honey</t>
  </si>
  <si>
    <t>H-3</t>
  </si>
  <si>
    <t>Buckwheat honey</t>
  </si>
  <si>
    <t>Jams and Jellies</t>
  </si>
  <si>
    <t>JJ-1</t>
  </si>
  <si>
    <t>Strawberry jam</t>
  </si>
  <si>
    <t>JJ-2</t>
  </si>
  <si>
    <t>Mixed berry jam</t>
  </si>
  <si>
    <t>JJ-3</t>
  </si>
  <si>
    <t>Mixed berry jelly</t>
  </si>
  <si>
    <t>JJ-4</t>
  </si>
  <si>
    <t>Rhubarb-strawberry compote</t>
  </si>
  <si>
    <t>Lotions</t>
  </si>
  <si>
    <t>L-1</t>
  </si>
  <si>
    <t>Goat milk hand and body lotion</t>
  </si>
  <si>
    <t>L-2</t>
  </si>
  <si>
    <t>Goat milk and honey cream</t>
  </si>
  <si>
    <t>L-3</t>
  </si>
  <si>
    <t>Oatmeal hand and body lotion</t>
  </si>
  <si>
    <t>Sale ID</t>
  </si>
  <si>
    <t>Sale Date</t>
  </si>
  <si>
    <t>Month</t>
  </si>
  <si>
    <t>Customer number</t>
  </si>
  <si>
    <t>Customer full name</t>
  </si>
  <si>
    <t>City</t>
  </si>
  <si>
    <t>Price</t>
  </si>
  <si>
    <t>Quantity</t>
  </si>
  <si>
    <t>Subtotal</t>
  </si>
  <si>
    <t>Discount number</t>
  </si>
  <si>
    <t>Discount code</t>
  </si>
  <si>
    <t>Discount percentage</t>
  </si>
  <si>
    <t>Order total</t>
  </si>
  <si>
    <t>Alger</t>
  </si>
  <si>
    <t>Avon</t>
  </si>
  <si>
    <t>Baker Heights</t>
  </si>
  <si>
    <t>Bay View</t>
  </si>
  <si>
    <t>Bellingham</t>
  </si>
  <si>
    <t>Big Lake</t>
  </si>
  <si>
    <t>Bow</t>
  </si>
  <si>
    <t>Burlington</t>
  </si>
  <si>
    <t>Conway</t>
  </si>
  <si>
    <t>Edison</t>
  </si>
  <si>
    <t>La Conner</t>
  </si>
  <si>
    <t>Lake Ketchum</t>
  </si>
  <si>
    <t>Lyman</t>
  </si>
  <si>
    <t>Mount Vernon</t>
  </si>
  <si>
    <t>Samish</t>
  </si>
  <si>
    <t>Sedro-Woolley</t>
  </si>
  <si>
    <t>Whitney</t>
  </si>
  <si>
    <t>Grand Total</t>
  </si>
  <si>
    <t>Product category</t>
  </si>
  <si>
    <t>D</t>
  </si>
  <si>
    <t>no discount</t>
  </si>
  <si>
    <t>C</t>
  </si>
  <si>
    <t>E</t>
  </si>
  <si>
    <t>A</t>
  </si>
  <si>
    <t>B</t>
  </si>
  <si>
    <t>Employee ID</t>
  </si>
  <si>
    <t>Item</t>
  </si>
  <si>
    <t>June</t>
  </si>
  <si>
    <t>July</t>
  </si>
  <si>
    <t>August</t>
  </si>
  <si>
    <t>Totals for 
Summer Sales</t>
  </si>
  <si>
    <t>FarmBoxes</t>
  </si>
  <si>
    <t>Soaps and Lotions</t>
  </si>
  <si>
    <t>Total summer sales:</t>
  </si>
  <si>
    <t>Delivery Truck Financing</t>
  </si>
  <si>
    <t>Loan amount (truck cost):</t>
  </si>
  <si>
    <t>Yearly interest rate:</t>
  </si>
  <si>
    <t>Term in months:</t>
  </si>
  <si>
    <t>Amount of monthly payment:</t>
  </si>
  <si>
    <t>Farmers' Market Booth Financing</t>
  </si>
  <si>
    <t>Loan amount for market booth:</t>
  </si>
  <si>
    <t>Honey Orders</t>
  </si>
  <si>
    <t>FarmBox Sales Scenarios</t>
  </si>
  <si>
    <t>Amal Salazar</t>
  </si>
  <si>
    <t>Anna Cunha</t>
  </si>
  <si>
    <t>Diya Nueimat</t>
  </si>
  <si>
    <t>Fahd Sleiman</t>
  </si>
  <si>
    <t>Hu Lin</t>
  </si>
  <si>
    <t>Igor Almeida</t>
  </si>
  <si>
    <t>Iker Dominguez</t>
  </si>
  <si>
    <t>Isabell Couture</t>
  </si>
  <si>
    <t>Johnny Bear</t>
  </si>
  <si>
    <t>Maisha Karzai</t>
  </si>
  <si>
    <t>Mukhtar Masih</t>
  </si>
  <si>
    <t>Sergio Galvez</t>
  </si>
  <si>
    <t>Amalia A. Ribeiro</t>
  </si>
  <si>
    <t>Hamal M. Azzi</t>
  </si>
  <si>
    <t>Liane A. Cormier</t>
  </si>
  <si>
    <t>Total farm boxes sold:</t>
  </si>
  <si>
    <t>Premium Farm Boxes % of sales:</t>
  </si>
  <si>
    <t>Profit on premium Farm Box (each):</t>
  </si>
  <si>
    <t>Profit on premium Farm Box (total):</t>
  </si>
  <si>
    <t>Profit on regular Farm Box (each):</t>
  </si>
  <si>
    <t>Profit on regular Farm Box (total):</t>
  </si>
  <si>
    <t>Percentage of sales and profit for premium Farm Boxes:</t>
  </si>
  <si>
    <t>Premium Farm Box Profit Projection</t>
  </si>
  <si>
    <t>Profit</t>
  </si>
  <si>
    <t>Total Costs</t>
  </si>
  <si>
    <t>Market stall fees</t>
  </si>
  <si>
    <t>Personell and driver costs</t>
  </si>
  <si>
    <t>Product costs</t>
  </si>
  <si>
    <t>COSTS</t>
  </si>
  <si>
    <t>Total revenue</t>
  </si>
  <si>
    <t>Soaps/lotions revenue</t>
  </si>
  <si>
    <t>Jams/honey revenue</t>
  </si>
  <si>
    <t>FarmBox revenue</t>
  </si>
  <si>
    <t>REVENUE</t>
  </si>
  <si>
    <t>Employee Full Name</t>
  </si>
  <si>
    <t># of Sales</t>
  </si>
  <si>
    <t>Total Order Amt</t>
  </si>
  <si>
    <t>Average Order</t>
  </si>
  <si>
    <t>Total Order</t>
  </si>
  <si>
    <t>Jonathan Voigt</t>
  </si>
  <si>
    <t>David Charron</t>
  </si>
  <si>
    <t>Wen Xie</t>
  </si>
  <si>
    <t>Kaela Samaha</t>
  </si>
  <si>
    <t>Eugenia Austin</t>
  </si>
  <si>
    <t>Angel Arteaga</t>
  </si>
  <si>
    <t>Nathan Bottoms</t>
  </si>
  <si>
    <t>Velma Buckner</t>
  </si>
  <si>
    <t>Kong Chen</t>
  </si>
  <si>
    <t>Francisco Almaraz</t>
  </si>
  <si>
    <t>Michael Yin</t>
  </si>
  <si>
    <t>Taqwaa Samaha</t>
  </si>
  <si>
    <t>Hafsa Dallah</t>
  </si>
  <si>
    <t>Qi Shi</t>
  </si>
  <si>
    <t>Hamal Shammas</t>
  </si>
  <si>
    <t>Lan Mai</t>
  </si>
  <si>
    <t>Munira Abrego</t>
  </si>
  <si>
    <t>Nancy Terry</t>
  </si>
  <si>
    <t>Terrence McGowan</t>
  </si>
  <si>
    <t>Genevieve Meilleur</t>
  </si>
  <si>
    <t>Francis Stackhouse</t>
  </si>
  <si>
    <t>Alberto Dominguez</t>
  </si>
  <si>
    <t>Sally Gallegos</t>
  </si>
  <si>
    <t>Claude Batard</t>
  </si>
  <si>
    <t>Tami Alvarado</t>
  </si>
  <si>
    <t>Blaise Margand</t>
  </si>
  <si>
    <t>Cameron Hyde</t>
  </si>
  <si>
    <t>Sun Li</t>
  </si>
  <si>
    <t>Gonzalo Vazquez</t>
  </si>
  <si>
    <t>Yi Min Ang</t>
  </si>
  <si>
    <t>Utbah Sherzai</t>
  </si>
  <si>
    <t>Ruby Shaffer</t>
  </si>
  <si>
    <t>Desiree Maldonado</t>
  </si>
  <si>
    <t>Marcel Quessy</t>
  </si>
  <si>
    <t>Gerard Masse</t>
  </si>
  <si>
    <t>Catherine Alford</t>
  </si>
  <si>
    <t>Jiang Li Xin</t>
  </si>
  <si>
    <t>Leah Bailey</t>
  </si>
  <si>
    <t>Astrid Flamand</t>
  </si>
  <si>
    <t>Libby Stokes</t>
  </si>
  <si>
    <t>Shi Hu</t>
  </si>
  <si>
    <t>Edwina Mullen</t>
  </si>
  <si>
    <t>Lourdes Melgar</t>
  </si>
  <si>
    <t>Fabio Fernandes</t>
  </si>
  <si>
    <t>Kareem Kuzbari</t>
  </si>
  <si>
    <t>Coralie Potvin</t>
  </si>
  <si>
    <t>Christian Saucier</t>
  </si>
  <si>
    <t>Darnell Nall</t>
  </si>
  <si>
    <t>Demi Holloway</t>
  </si>
  <si>
    <t>Philippe Pelland</t>
  </si>
  <si>
    <t>Marisa McCullough</t>
  </si>
  <si>
    <t>Kristine Bass</t>
  </si>
  <si>
    <t>Yue Ying Lin</t>
  </si>
  <si>
    <t>Miles McDaniel</t>
  </si>
  <si>
    <t>Antonio Castaneda</t>
  </si>
  <si>
    <t>Molly Romero</t>
  </si>
  <si>
    <t>Alexandre Doyon</t>
  </si>
  <si>
    <t>Shen Xiong</t>
  </si>
  <si>
    <t>Fai Qian</t>
  </si>
  <si>
    <t>Hamal Nader</t>
  </si>
  <si>
    <t>Daniel Tijerina</t>
  </si>
  <si>
    <t>Fen Long</t>
  </si>
  <si>
    <t>Chris Bromley</t>
  </si>
  <si>
    <t>Lian Fan</t>
  </si>
  <si>
    <t>Alhasan Homsi</t>
  </si>
  <si>
    <t>Akia Kassis</t>
  </si>
  <si>
    <t>Hana'i Hotaki</t>
  </si>
  <si>
    <t>Ruth Miranda</t>
  </si>
  <si>
    <t>Jacob Schreiner</t>
  </si>
  <si>
    <t>Fadil Berry</t>
  </si>
  <si>
    <t>Esteban Treat</t>
  </si>
  <si>
    <t>Yan Yan Tang</t>
  </si>
  <si>
    <t>Dominic Bonsaint</t>
  </si>
  <si>
    <t>Horace Summerlin</t>
  </si>
  <si>
    <t>Gilbert Charron</t>
  </si>
  <si>
    <t>Marcos Serna</t>
  </si>
  <si>
    <t>Jorge Casanova</t>
  </si>
  <si>
    <t>Maurice Charron</t>
  </si>
  <si>
    <t>Alba Sutton</t>
  </si>
  <si>
    <t>Norma Herman</t>
  </si>
  <si>
    <t>Eva Barajas</t>
  </si>
  <si>
    <t>Gang Chu</t>
  </si>
  <si>
    <t>De Liao</t>
  </si>
  <si>
    <t>Simon Skeen</t>
  </si>
  <si>
    <t>Xia Mai</t>
  </si>
  <si>
    <t>Miguel Howerton</t>
  </si>
  <si>
    <t>Archie Lamb</t>
  </si>
  <si>
    <t>Nihad Homsi</t>
  </si>
  <si>
    <t>Kristophe  Barjavel</t>
  </si>
  <si>
    <t>Xiang Zhong</t>
  </si>
  <si>
    <t>Kyle Hatley</t>
  </si>
  <si>
    <t>Javier Sun</t>
  </si>
  <si>
    <t>Sonia Lynch</t>
  </si>
  <si>
    <t>Pramod  Mistry</t>
  </si>
  <si>
    <t>Lei Luo</t>
  </si>
  <si>
    <t>Luc Chauvin</t>
  </si>
  <si>
    <t>Toby Perkins</t>
  </si>
  <si>
    <t>Yi Min Lu</t>
  </si>
  <si>
    <t>Andre Rivard</t>
  </si>
  <si>
    <t>Hafsa Badakhshi</t>
  </si>
  <si>
    <t>Stewart Frizzell</t>
  </si>
  <si>
    <t>Alain  Margand</t>
  </si>
  <si>
    <t>Jenna Hanania</t>
  </si>
  <si>
    <t>Li Long</t>
  </si>
  <si>
    <t>Tuqaa Naser</t>
  </si>
  <si>
    <t>Lily Parker</t>
  </si>
  <si>
    <t>Jacqueline  Brunelle</t>
  </si>
  <si>
    <t>Annette Deniger</t>
  </si>
  <si>
    <t>Andree Meilleur</t>
  </si>
  <si>
    <t>Josephine  Grondin</t>
  </si>
  <si>
    <t>Dominic Cloutier</t>
  </si>
  <si>
    <t>Gabriel Hurtado</t>
  </si>
  <si>
    <t>Hamed Sarraf</t>
  </si>
  <si>
    <t>Eisa Boutros</t>
  </si>
  <si>
    <t>Calvin Olds</t>
  </si>
  <si>
    <t>Humayd Natsheh</t>
  </si>
  <si>
    <t>Ju Xu</t>
  </si>
  <si>
    <t>Li Cao</t>
  </si>
  <si>
    <t>Pau Valadez</t>
  </si>
  <si>
    <t>Tabitha Shamoun</t>
  </si>
  <si>
    <t>Manuel Jerome</t>
  </si>
  <si>
    <t>Emery Cate</t>
  </si>
  <si>
    <t>Helene Rocher</t>
  </si>
  <si>
    <t>Philippe Paulet</t>
  </si>
  <si>
    <t>Yi Ze Ang</t>
  </si>
  <si>
    <t>Fang Yin Xia</t>
  </si>
  <si>
    <t>Danielle  Panetier</t>
  </si>
  <si>
    <t>Shi He</t>
  </si>
  <si>
    <t>Carmelo Foret</t>
  </si>
  <si>
    <t>Caresse Cartier</t>
  </si>
  <si>
    <t>Charline Varieur</t>
  </si>
  <si>
    <t>Wei Mai</t>
  </si>
  <si>
    <t>Elisabeth Plante</t>
  </si>
  <si>
    <t>Ruwaidah Bishara</t>
  </si>
  <si>
    <t>Douglas Townes</t>
  </si>
  <si>
    <t>Malika Nueimat</t>
  </si>
  <si>
    <t>Felipe Bui</t>
  </si>
  <si>
    <t>Cornelia Guerrero</t>
  </si>
  <si>
    <t>Daniel Feliciano</t>
  </si>
  <si>
    <t>Cheng He</t>
  </si>
  <si>
    <t>Hector Montoya</t>
  </si>
  <si>
    <t>Maison  Herve</t>
  </si>
  <si>
    <t>Reem Al-Zuhairi</t>
  </si>
  <si>
    <t>Harriet Finch</t>
  </si>
  <si>
    <t>Fang Yin Tu</t>
  </si>
  <si>
    <t>Shipping days</t>
  </si>
  <si>
    <t>Revenue &amp; Costs</t>
  </si>
  <si>
    <t>(blank)</t>
  </si>
  <si>
    <t>Product</t>
  </si>
  <si>
    <t>Sales with existing discounts</t>
  </si>
  <si>
    <t>Date</t>
  </si>
  <si>
    <t>Holiday Name</t>
  </si>
  <si>
    <t>New Year's Day</t>
  </si>
  <si>
    <t>Martin Luther King, Jr. Day</t>
  </si>
  <si>
    <t>Presidents Day</t>
  </si>
  <si>
    <t>Memorial Day</t>
  </si>
  <si>
    <t>Juneteenth</t>
  </si>
  <si>
    <t>Independence Day</t>
  </si>
  <si>
    <t>Labor Day</t>
  </si>
  <si>
    <t>Columbus Day</t>
  </si>
  <si>
    <t>Veterans Day</t>
  </si>
  <si>
    <t>Thanksgiving Day</t>
  </si>
  <si>
    <t>Christmas Day</t>
  </si>
  <si>
    <t>Expected arrival (if ordered today)</t>
  </si>
  <si>
    <t>(All)</t>
  </si>
  <si>
    <t>County</t>
  </si>
  <si>
    <t>State_Region</t>
  </si>
  <si>
    <t>WA</t>
  </si>
  <si>
    <t>Skagit</t>
  </si>
  <si>
    <t>Whatcom</t>
  </si>
  <si>
    <t>Snohomish</t>
  </si>
  <si>
    <t>Wickersham</t>
  </si>
  <si>
    <t>Row Labels</t>
  </si>
  <si>
    <t>Column Labels</t>
  </si>
  <si>
    <t>Count of Customer full name</t>
  </si>
  <si>
    <t>Jun</t>
  </si>
  <si>
    <t>Jul</t>
  </si>
  <si>
    <t>Aug</t>
  </si>
  <si>
    <t>Sep</t>
  </si>
  <si>
    <t>Term in years:</t>
  </si>
  <si>
    <t>Number of payments per year:</t>
  </si>
  <si>
    <t xml:space="preserve">When will the payments be made? </t>
  </si>
  <si>
    <t>Beginning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</si>
</sst>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mmmm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rgb="FF212529"/>
      <name val="Open Sans"/>
      <family val="2"/>
    </font>
    <font>
      <sz val="8"/>
      <color rgb="FF212529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2" fontId="1" fillId="0" borderId="0" applyFont="0" applyFill="0" applyBorder="0" applyAlignment="0" applyProtection="0"/>
  </cellStyleXfs>
  <cellXfs count="49">
    <xf numFmtId="0" fontId="0" fillId="0" borderId="0" xfId="0"/>
    <xf numFmtId="44" fontId="0" fillId="0" borderId="0" xfId="1" applyFont="1"/>
    <xf numFmtId="0" fontId="2" fillId="0" borderId="1" xfId="3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1" fontId="0" fillId="0" borderId="0" xfId="1" applyNumberFormat="1" applyFont="1" applyAlignment="1">
      <alignment horizontal="center"/>
    </xf>
    <xf numFmtId="44" fontId="0" fillId="0" borderId="0" xfId="0" applyNumberFormat="1"/>
    <xf numFmtId="9" fontId="0" fillId="0" borderId="0" xfId="2" applyFont="1"/>
    <xf numFmtId="49" fontId="0" fillId="0" borderId="0" xfId="0" applyNumberForma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/>
    <xf numFmtId="44" fontId="3" fillId="0" borderId="0" xfId="0" applyNumberFormat="1" applyFont="1"/>
    <xf numFmtId="0" fontId="7" fillId="2" borderId="0" xfId="0" applyFont="1" applyFill="1" applyAlignment="1">
      <alignment vertical="center"/>
    </xf>
    <xf numFmtId="0" fontId="7" fillId="2" borderId="0" xfId="0" applyFont="1" applyFill="1"/>
    <xf numFmtId="1" fontId="0" fillId="0" borderId="0" xfId="0" applyNumberFormat="1"/>
    <xf numFmtId="8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44" fontId="0" fillId="2" borderId="0" xfId="1" applyFont="1" applyFill="1" applyAlignment="1">
      <alignment vertical="center"/>
    </xf>
    <xf numFmtId="9" fontId="0" fillId="0" borderId="0" xfId="0" applyNumberFormat="1"/>
    <xf numFmtId="9" fontId="3" fillId="0" borderId="0" xfId="0" applyNumberFormat="1" applyFont="1"/>
    <xf numFmtId="44" fontId="7" fillId="2" borderId="0" xfId="1" applyFont="1" applyFill="1"/>
    <xf numFmtId="6" fontId="3" fillId="0" borderId="0" xfId="0" applyNumberFormat="1" applyFont="1"/>
    <xf numFmtId="6" fontId="0" fillId="2" borderId="0" xfId="0" applyNumberFormat="1" applyFill="1"/>
    <xf numFmtId="9" fontId="3" fillId="0" borderId="0" xfId="0" applyNumberFormat="1" applyFont="1" applyAlignment="1">
      <alignment wrapText="1"/>
    </xf>
    <xf numFmtId="42" fontId="3" fillId="0" borderId="0" xfId="4" applyFont="1"/>
    <xf numFmtId="42" fontId="0" fillId="0" borderId="0" xfId="4" applyFont="1"/>
    <xf numFmtId="0" fontId="7" fillId="0" borderId="0" xfId="0" applyFont="1"/>
    <xf numFmtId="0" fontId="0" fillId="0" borderId="0" xfId="0" applyAlignment="1">
      <alignment horizontal="left" indent="1"/>
    </xf>
    <xf numFmtId="165" fontId="0" fillId="0" borderId="0" xfId="0" applyNumberFormat="1"/>
    <xf numFmtId="0" fontId="2" fillId="0" borderId="1" xfId="3" applyAlignment="1">
      <alignment horizontal="center" vertical="center" wrapText="1"/>
    </xf>
    <xf numFmtId="0" fontId="2" fillId="0" borderId="1" xfId="3" applyAlignment="1">
      <alignment horizontal="center" vertical="center"/>
    </xf>
    <xf numFmtId="42" fontId="0" fillId="0" borderId="0" xfId="0" applyNumberFormat="1"/>
    <xf numFmtId="0" fontId="10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vertical="top"/>
    </xf>
    <xf numFmtId="15" fontId="11" fillId="5" borderId="4" xfId="0" applyNumberFormat="1" applyFont="1" applyFill="1" applyBorder="1" applyAlignment="1">
      <alignment vertical="top"/>
    </xf>
    <xf numFmtId="0" fontId="0" fillId="0" borderId="0" xfId="1" applyNumberFormat="1" applyFont="1"/>
    <xf numFmtId="1" fontId="0" fillId="0" borderId="0" xfId="0" applyNumberFormat="1" applyAlignment="1">
      <alignment horizontal="center"/>
    </xf>
    <xf numFmtId="0" fontId="9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</cellXfs>
  <cellStyles count="5">
    <cellStyle name="Currency" xfId="1" builtinId="4"/>
    <cellStyle name="Currency [0]" xfId="4" builtinId="7"/>
    <cellStyle name="Heading 2" xfId="3" builtinId="17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2CC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[Project3_datafile.xlsx]Sales Discounts!SalesDiscountsPivot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Discounts'!$B$3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Discounts'!$A$4:$A$18</c:f>
              <c:multiLvlStrCache>
                <c:ptCount val="13"/>
                <c:lvl>
                  <c:pt idx="0">
                    <c:v>Buckwheat honey</c:v>
                  </c:pt>
                  <c:pt idx="1">
                    <c:v>Clover honey</c:v>
                  </c:pt>
                  <c:pt idx="2">
                    <c:v>Goat milk and honey cream</c:v>
                  </c:pt>
                  <c:pt idx="3">
                    <c:v>Goat milk hand and body lotion</c:v>
                  </c:pt>
                  <c:pt idx="4">
                    <c:v>Goat milk soap</c:v>
                  </c:pt>
                  <c:pt idx="5">
                    <c:v>Mixed berry jam</c:v>
                  </c:pt>
                  <c:pt idx="6">
                    <c:v>Mixed berry jelly</c:v>
                  </c:pt>
                  <c:pt idx="7">
                    <c:v>Oatmeal hand and body lotion</c:v>
                  </c:pt>
                  <c:pt idx="8">
                    <c:v>Oatmeal soap</c:v>
                  </c:pt>
                  <c:pt idx="9">
                    <c:v>Rhubarb-strawberry compote</c:v>
                  </c:pt>
                  <c:pt idx="10">
                    <c:v>Strawberry jam</c:v>
                  </c:pt>
                  <c:pt idx="11">
                    <c:v>Strawberry summer soap</c:v>
                  </c:pt>
                  <c:pt idx="12">
                    <c:v>Wildflower honey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'Sales Discounts'!$B$4:$B$18</c:f>
              <c:numCache>
                <c:formatCode>_("$"* #,##0_);_("$"* \(#,##0\);_("$"* "-"_);_(@_)</c:formatCode>
                <c:ptCount val="13"/>
                <c:pt idx="0">
                  <c:v>1141.4000000000001</c:v>
                </c:pt>
                <c:pt idx="1">
                  <c:v>1018.5300000000001</c:v>
                </c:pt>
                <c:pt idx="2">
                  <c:v>1331.0400000000002</c:v>
                </c:pt>
                <c:pt idx="3">
                  <c:v>1547.04</c:v>
                </c:pt>
                <c:pt idx="4">
                  <c:v>809.2</c:v>
                </c:pt>
                <c:pt idx="5">
                  <c:v>867.45</c:v>
                </c:pt>
                <c:pt idx="6">
                  <c:v>970.27500000000009</c:v>
                </c:pt>
                <c:pt idx="7">
                  <c:v>1338.6</c:v>
                </c:pt>
                <c:pt idx="8">
                  <c:v>690.97349999999994</c:v>
                </c:pt>
                <c:pt idx="9">
                  <c:v>1001.92</c:v>
                </c:pt>
                <c:pt idx="10">
                  <c:v>849.97500000000002</c:v>
                </c:pt>
                <c:pt idx="11">
                  <c:v>808.60500000000002</c:v>
                </c:pt>
                <c:pt idx="12">
                  <c:v>904.0200000000001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0-4C47-86C0-159E10D80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788864"/>
        <c:axId val="1848790528"/>
      </c:barChart>
      <c:catAx>
        <c:axId val="18487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90528"/>
        <c:crosses val="autoZero"/>
        <c:auto val="1"/>
        <c:lblAlgn val="ctr"/>
        <c:lblOffset val="100"/>
        <c:noMultiLvlLbl val="0"/>
      </c:catAx>
      <c:valAx>
        <c:axId val="18487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[Project3_datafile.xlsx]Frequency by County!PivotTable2</c:name>
    <c:fmtId val="0"/>
  </c:pivotSource>
  <c:chart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by County'!$B$1:$B$2</c:f>
              <c:strCache>
                <c:ptCount val="1"/>
                <c:pt idx="0">
                  <c:v>Jun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'Frequency by County'!$A$3:$A$4</c:f>
              <c:strCache>
                <c:ptCount val="1"/>
                <c:pt idx="0">
                  <c:v>WA</c:v>
                </c:pt>
              </c:strCache>
            </c:strRef>
          </c:cat>
          <c:val>
            <c:numRef>
              <c:f>'Frequency by County'!$B$3:$B$4</c:f>
              <c:numCache>
                <c:formatCode>General</c:formatCode>
                <c:ptCount val="1"/>
                <c:pt idx="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2-E670-40D2-9D80-DE88C9CF2751}"/>
            </c:ext>
          </c:extLst>
        </c:ser>
        <c:ser>
          <c:idx val="1"/>
          <c:order val="1"/>
          <c:tx>
            <c:strRef>
              <c:f>'Frequency by County'!$C$1:$C$2</c:f>
              <c:strCache>
                <c:ptCount val="1"/>
                <c:pt idx="0">
                  <c:v>Jul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'Frequency by County'!$A$3:$A$4</c:f>
              <c:strCache>
                <c:ptCount val="1"/>
                <c:pt idx="0">
                  <c:v>WA</c:v>
                </c:pt>
              </c:strCache>
            </c:strRef>
          </c:cat>
          <c:val>
            <c:numRef>
              <c:f>'Frequency by County'!$C$3:$C$4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E670-40D2-9D80-DE88C9CF2751}"/>
            </c:ext>
          </c:extLst>
        </c:ser>
        <c:ser>
          <c:idx val="2"/>
          <c:order val="2"/>
          <c:tx>
            <c:strRef>
              <c:f>'Frequency by County'!$D$1:$D$2</c:f>
              <c:strCache>
                <c:ptCount val="1"/>
                <c:pt idx="0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'Frequency by County'!$A$3:$A$4</c:f>
              <c:strCache>
                <c:ptCount val="1"/>
                <c:pt idx="0">
                  <c:v>WA</c:v>
                </c:pt>
              </c:strCache>
            </c:strRef>
          </c:cat>
          <c:val>
            <c:numRef>
              <c:f>'Frequency by County'!$D$3:$D$4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A-E670-40D2-9D80-DE88C9CF2751}"/>
            </c:ext>
          </c:extLst>
        </c:ser>
        <c:ser>
          <c:idx val="3"/>
          <c:order val="3"/>
          <c:tx>
            <c:strRef>
              <c:f>'Frequency by County'!$E$1:$E$2</c:f>
              <c:strCache>
                <c:ptCount val="1"/>
                <c:pt idx="0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'Frequency by County'!$A$3:$A$4</c:f>
              <c:strCache>
                <c:ptCount val="1"/>
                <c:pt idx="0">
                  <c:v>WA</c:v>
                </c:pt>
              </c:strCache>
            </c:strRef>
          </c:cat>
          <c:val>
            <c:numRef>
              <c:f>'Frequency by County'!$E$3:$E$4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B-E670-40D2-9D80-DE88C9CF2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3225104"/>
        <c:axId val="333225520"/>
      </c:barChart>
      <c:catAx>
        <c:axId val="33322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5520"/>
        <c:crosses val="autoZero"/>
        <c:auto val="1"/>
        <c:lblAlgn val="ctr"/>
        <c:lblOffset val="100"/>
        <c:noMultiLvlLbl val="0"/>
      </c:catAx>
      <c:valAx>
        <c:axId val="3332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2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0</xdr:row>
      <xdr:rowOff>0</xdr:rowOff>
    </xdr:from>
    <xdr:to>
      <xdr:col>13</xdr:col>
      <xdr:colOff>518160</xdr:colOff>
      <xdr:row>25</xdr:row>
      <xdr:rowOff>152400</xdr:rowOff>
    </xdr:to>
    <xdr:graphicFrame macro="">
      <xdr:nvGraphicFramePr>
        <xdr:cNvPr id="2" name="SalesDiscounts">
          <a:extLst>
            <a:ext uri="{FF2B5EF4-FFF2-40B4-BE49-F238E27FC236}">
              <a16:creationId xmlns:a16="http://schemas.microsoft.com/office/drawing/2014/main" id="{4B5FD71F-DE43-E7BE-05CF-910A929F383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0</xdr:row>
      <xdr:rowOff>83820</xdr:rowOff>
    </xdr:from>
    <xdr:to>
      <xdr:col>21</xdr:col>
      <xdr:colOff>251460</xdr:colOff>
      <xdr:row>24</xdr:row>
      <xdr:rowOff>106680</xdr:rowOff>
    </xdr:to>
    <xdr:graphicFrame macro="">
      <xdr:nvGraphicFramePr>
        <xdr:cNvPr id="2" name="ByCounty">
          <a:extLst>
            <a:ext uri="{FF2B5EF4-FFF2-40B4-BE49-F238E27FC236}">
              <a16:creationId xmlns:a16="http://schemas.microsoft.com/office/drawing/2014/main" id="{50E5EEED-4E23-6313-EF73-EADF1C03736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857.898147337961" createdVersion="8" refreshedVersion="8" minRefreshableVersion="3" recordCount="306" xr:uid="{791E74F9-2C12-46D5-B335-EC3C05D971F9}">
  <cacheSource type="worksheet">
    <worksheetSource ref="A1:T307" sheet="Sales"/>
  </cacheSource>
  <cacheFields count="21">
    <cacheField name="Sale ID" numFmtId="0">
      <sharedItems containsSemiMixedTypes="0" containsString="0" containsNumber="1" containsInteger="1" minValue="1" maxValue="306"/>
    </cacheField>
    <cacheField name="Sale Date" numFmtId="14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  <fieldGroup base="1">
        <rangePr groupBy="months" startDate="2022-06-01T00:00:00" endDate="2022-10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  <cacheField name="Month" numFmtId="164">
      <sharedItems containsSemiMixedTypes="0" containsNonDate="0" containsDate="1" containsString="0" minDate="2022-06-01T00:00:00" maxDate="2022-10-01T00:00:00" count="112">
        <d v="2022-06-01T00:00:00"/>
        <d v="2022-06-02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2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</sharedItems>
      <fieldGroup par="20"/>
    </cacheField>
    <cacheField name="Employee ID" numFmtId="0">
      <sharedItems containsSemiMixedTypes="0" containsString="0" containsNumber="1" containsInteger="1" minValue="1384" maxValue="8064"/>
    </cacheField>
    <cacheField name="Employee Full Name" numFmtId="0">
      <sharedItems/>
    </cacheField>
    <cacheField name="Customer number" numFmtId="0">
      <sharedItems containsSemiMixedTypes="0" containsString="0" containsNumber="1" containsInteger="1" minValue="10061" maxValue="28732"/>
    </cacheField>
    <cacheField name="Customer full name" numFmtId="0">
      <sharedItems count="145">
        <s v="Jonathan Voigt"/>
        <s v="David Charron"/>
        <s v="Wen Xie"/>
        <s v="Kaela Samaha"/>
        <s v="Eugenia Austin"/>
        <s v="Angel Arteaga"/>
        <s v="Nathan Bottoms"/>
        <s v="Velma Buckner"/>
        <s v="Kong Chen"/>
        <s v="Francisco Almaraz"/>
        <s v="Michael Yin"/>
        <s v="Taqwaa Samaha"/>
        <s v="Hafsa Dallah"/>
        <s v="Qi Shi"/>
        <s v="Hamal Shammas"/>
        <s v="Lan Mai"/>
        <s v="Munira Abrego"/>
        <s v="Nancy Terry"/>
        <s v="Terrence McGowan"/>
        <s v="Genevieve Meilleur"/>
        <s v="Francis Stackhouse"/>
        <s v="Alberto Dominguez"/>
        <s v="Sally Gallegos"/>
        <s v="Claude Batard"/>
        <s v="Tami Alvarado"/>
        <s v="Blaise Margand"/>
        <s v="Cameron Hyde"/>
        <s v="Sun Li"/>
        <s v="Gonzalo Vazquez"/>
        <s v="Yi Min Ang"/>
        <s v="Utbah Sherzai"/>
        <s v="Ruby Shaffer"/>
        <s v="Desiree Maldonado"/>
        <s v="Marcel Quessy"/>
        <s v="Gerard Masse"/>
        <s v="Catherine Alford"/>
        <s v="Jiang Li Xin"/>
        <s v="Leah Bailey"/>
        <s v="Astrid Flamand"/>
        <s v="Libby Stokes"/>
        <s v="Shi Hu"/>
        <s v="Edwina Mullen"/>
        <s v="Lourdes Melgar"/>
        <s v="Fabio Fernandes"/>
        <s v="Kareem Kuzbari"/>
        <s v="Coralie Potvin"/>
        <s v="Christian Saucier"/>
        <s v="Darnell Nall"/>
        <s v="Demi Holloway"/>
        <s v="Philippe Pelland"/>
        <s v="Marisa McCullough"/>
        <s v="Kristine Bass"/>
        <s v="Yue Ying Lin"/>
        <s v="Miles McDaniel"/>
        <s v="Antonio Castaneda"/>
        <s v="Molly Romero"/>
        <s v="Alexandre Doyon"/>
        <s v="Shen Xiong"/>
        <s v="Fai Qian"/>
        <s v="Hamal Nader"/>
        <s v="Daniel Tijerina"/>
        <s v="Fen Long"/>
        <s v="Chris Bromley"/>
        <s v="Lian Fan"/>
        <s v="Alhasan Homsi"/>
        <s v="Akia Kassis"/>
        <s v="Hana'i Hotaki"/>
        <s v="Ruth Miranda"/>
        <s v="Jacob Schreiner"/>
        <s v="Fadil Berry"/>
        <s v="Esteban Treat"/>
        <s v="Yan Yan Tang"/>
        <s v="Dominic Bonsaint"/>
        <s v="Horace Summerlin"/>
        <s v="Gilbert Charron"/>
        <s v="Marcos Serna"/>
        <s v="Jorge Casanova"/>
        <s v="Maurice Charron"/>
        <s v="Alba Sutton"/>
        <s v="Norma Herman"/>
        <s v="Eva Barajas"/>
        <s v="Gang Chu"/>
        <s v="De Liao"/>
        <s v="Simon Skeen"/>
        <s v="Xia Mai"/>
        <s v="Miguel Howerton"/>
        <s v="Archie Lamb"/>
        <s v="Nihad Homsi"/>
        <s v="Kristophe  Barjavel"/>
        <s v="Xiang Zhong"/>
        <s v="Kyle Hatley"/>
        <s v="Javier Sun"/>
        <s v="Sonia Lynch"/>
        <s v="Pramod  Mistry"/>
        <s v="Lei Luo"/>
        <s v="Luc Chauvin"/>
        <s v="Toby Perkins"/>
        <s v="Yi Min Lu"/>
        <s v="Andre Rivard"/>
        <s v="Hafsa Badakhshi"/>
        <s v="Stewart Frizzell"/>
        <s v="Alain  Margand"/>
        <s v="Jenna Hanania"/>
        <s v="Li Long"/>
        <s v="Tuqaa Naser"/>
        <s v="Lily Parker"/>
        <s v="Jacqueline  Brunelle"/>
        <s v="Annette Deniger"/>
        <s v="Andree Meilleur"/>
        <s v="Josephine  Grondin"/>
        <s v="Dominic Cloutier"/>
        <s v="Gabriel Hurtado"/>
        <s v="Hamed Sarraf"/>
        <s v="Eisa Boutros"/>
        <s v="Calvin Olds"/>
        <s v="Humayd Natsheh"/>
        <s v="Ju Xu"/>
        <s v="Li Cao"/>
        <s v="Pau Valadez"/>
        <s v="Tabitha Shamoun"/>
        <s v="Manuel Jerome"/>
        <s v="Emery Cate"/>
        <s v="Helene Rocher"/>
        <s v="Philippe Paulet"/>
        <s v="Yi Ze Ang"/>
        <s v="Fang Yin Xia"/>
        <s v="Danielle  Panetier"/>
        <s v="Shi He"/>
        <s v="Carmelo Foret"/>
        <s v="Caresse Cartier"/>
        <s v="Charline Varieur"/>
        <s v="Wei Mai"/>
        <s v="Elisabeth Plante"/>
        <s v="Ruwaidah Bishara"/>
        <s v="Douglas Townes"/>
        <s v="Malika Nueimat"/>
        <s v="Felipe Bui"/>
        <s v="Cornelia Guerrero"/>
        <s v="Daniel Feliciano"/>
        <s v="Cheng He"/>
        <s v="Hector Montoya"/>
        <s v="Maison  Herve"/>
        <s v="Reem Al-Zuhairi"/>
        <s v="Harriet Finch"/>
        <s v="Fang Yin Tu"/>
      </sharedItems>
    </cacheField>
    <cacheField name="City" numFmtId="0">
      <sharedItems count="19">
        <s v="Samish"/>
        <s v="Big Lake"/>
        <s v="Burlington"/>
        <s v="La Conner"/>
        <s v="Lake Ketchum"/>
        <s v="Baker Heights"/>
        <s v="Edison"/>
        <s v="Wickersham"/>
        <s v="Bellingham"/>
        <s v="Bow"/>
        <s v="Whitney"/>
        <s v="Mount Vernon"/>
        <s v="Bay View"/>
        <s v="Alger"/>
        <s v="Avon"/>
        <s v="Sedro-Woolley"/>
        <s v="Conway"/>
        <s v="Lyman"/>
        <s v="Jackson" u="1"/>
      </sharedItems>
    </cacheField>
    <cacheField name="County" numFmtId="0">
      <sharedItems count="3">
        <s v="Skagit"/>
        <s v="Snohomish"/>
        <s v="Whatcom"/>
      </sharedItems>
    </cacheField>
    <cacheField name="State_Region" numFmtId="0">
      <sharedItems count="1">
        <s v="WA"/>
      </sharedItems>
    </cacheField>
    <cacheField name="Product ID" numFmtId="0">
      <sharedItems/>
    </cacheField>
    <cacheField name="Product name" numFmtId="0">
      <sharedItems count="13">
        <s v="Goat milk soap"/>
        <s v="Rhubarb-strawberry compote"/>
        <s v="Goat milk and honey cream"/>
        <s v="Mixed berry jelly"/>
        <s v="Strawberry jam"/>
        <s v="Clover honey"/>
        <s v="Wildflower honey"/>
        <s v="Buckwheat honey"/>
        <s v="Oatmeal soap"/>
        <s v="Mixed berry jam"/>
        <s v="Strawberry summer soap"/>
        <s v="Oatmeal hand and body lotion"/>
        <s v="Goat milk hand and body lotion"/>
      </sharedItems>
    </cacheField>
    <cacheField name="Product category" numFmtId="0">
      <sharedItems containsNonDate="0" containsString="0" containsBlank="1" count="1">
        <m/>
      </sharedItems>
    </cacheField>
    <cacheField name="Price" numFmtId="44">
      <sharedItems containsSemiMixedTypes="0" containsString="0" containsNumber="1" minValue="5.95" maxValue="12"/>
    </cacheField>
    <cacheField name="Quantity" numFmtId="1">
      <sharedItems containsSemiMixedTypes="0" containsString="0" containsNumber="1" containsInteger="1" minValue="1" maxValue="10"/>
    </cacheField>
    <cacheField name="Subtotal" numFmtId="44">
      <sharedItems containsSemiMixedTypes="0" containsString="0" containsNumber="1" minValue="5.95" maxValue="120"/>
    </cacheField>
    <cacheField name="Discount number" numFmtId="0">
      <sharedItems containsSemiMixedTypes="0" containsString="0" containsNumber="1" containsInteger="1" minValue="0" maxValue="5"/>
    </cacheField>
    <cacheField name="Discount code" numFmtId="14">
      <sharedItems/>
    </cacheField>
    <cacheField name="Discount percentage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5.3550000000000004" maxValue="120"/>
    </cacheField>
    <cacheField name="Months (Month)" numFmtId="0" databaseField="0">
      <fieldGroup base="2">
        <rangePr groupBy="months" startDate="2022-06-01T00:00:00" endDate="2022-10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1/2022"/>
        </groupItems>
      </fieldGroup>
    </cacheField>
  </cacheFields>
  <extLst>
    <ext xmlns:x14="http://schemas.microsoft.com/office/spreadsheetml/2009/9/main" uri="{725AE2AE-9491-48be-B2B4-4EB974FC3084}">
      <x14:pivotCacheDefinition pivotCacheId="919804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"/>
    <x v="0"/>
    <x v="0"/>
    <n v="6892"/>
    <s v="Fahd Sleiman"/>
    <n v="12265"/>
    <x v="0"/>
    <x v="0"/>
    <x v="0"/>
    <x v="0"/>
    <s v="OS-3"/>
    <x v="0"/>
    <x v="0"/>
    <n v="5.95"/>
    <n v="7"/>
    <n v="41.65"/>
    <n v="4"/>
    <s v="D"/>
    <n v="0.1"/>
    <n v="37.484999999999999"/>
  </r>
  <r>
    <n v="2"/>
    <x v="1"/>
    <x v="1"/>
    <n v="6464"/>
    <s v="Hamal M. Azzi"/>
    <n v="27538"/>
    <x v="1"/>
    <x v="1"/>
    <x v="0"/>
    <x v="0"/>
    <s v="JJ-4"/>
    <x v="1"/>
    <x v="0"/>
    <n v="8"/>
    <n v="8"/>
    <n v="64"/>
    <n v="0"/>
    <s v="no discount"/>
    <n v="0"/>
    <n v="64"/>
  </r>
  <r>
    <n v="3"/>
    <x v="1"/>
    <x v="1"/>
    <n v="1384"/>
    <s v="Igor Almeida"/>
    <n v="16736"/>
    <x v="2"/>
    <x v="2"/>
    <x v="0"/>
    <x v="0"/>
    <s v="OS-3"/>
    <x v="0"/>
    <x v="0"/>
    <n v="5.95"/>
    <n v="5"/>
    <n v="29.75"/>
    <n v="0"/>
    <s v="no discount"/>
    <n v="0"/>
    <n v="29.75"/>
  </r>
  <r>
    <n v="4"/>
    <x v="1"/>
    <x v="1"/>
    <n v="6678"/>
    <s v="Amalia A. Ribeiro"/>
    <n v="11124"/>
    <x v="3"/>
    <x v="3"/>
    <x v="0"/>
    <x v="0"/>
    <s v="L-2"/>
    <x v="2"/>
    <x v="0"/>
    <n v="12"/>
    <n v="5"/>
    <n v="60"/>
    <n v="4"/>
    <s v="D"/>
    <n v="0.1"/>
    <n v="54"/>
  </r>
  <r>
    <n v="5"/>
    <x v="2"/>
    <x v="2"/>
    <n v="6678"/>
    <s v="Amalia A. Ribeiro"/>
    <n v="22713"/>
    <x v="4"/>
    <x v="4"/>
    <x v="1"/>
    <x v="0"/>
    <s v="JJ-3"/>
    <x v="3"/>
    <x v="0"/>
    <n v="7.5"/>
    <n v="7"/>
    <n v="52.5"/>
    <n v="3"/>
    <s v="C"/>
    <n v="0.08"/>
    <n v="48.3"/>
  </r>
  <r>
    <n v="6"/>
    <x v="3"/>
    <x v="3"/>
    <n v="6357"/>
    <s v="Johnny Bear"/>
    <n v="10681"/>
    <x v="5"/>
    <x v="5"/>
    <x v="0"/>
    <x v="0"/>
    <s v="OS-3"/>
    <x v="0"/>
    <x v="0"/>
    <n v="5.95"/>
    <n v="4"/>
    <n v="23.8"/>
    <n v="0"/>
    <s v="no discount"/>
    <n v="0"/>
    <n v="23.8"/>
  </r>
  <r>
    <n v="7"/>
    <x v="3"/>
    <x v="3"/>
    <n v="6143"/>
    <s v="Liane A. Cormier"/>
    <n v="21064"/>
    <x v="6"/>
    <x v="6"/>
    <x v="0"/>
    <x v="0"/>
    <s v="JJ-1"/>
    <x v="4"/>
    <x v="0"/>
    <n v="7.5"/>
    <n v="2"/>
    <n v="15"/>
    <n v="5"/>
    <s v="E"/>
    <n v="0.15"/>
    <n v="12.75"/>
  </r>
  <r>
    <n v="8"/>
    <x v="3"/>
    <x v="3"/>
    <n v="6464"/>
    <s v="Hamal M. Azzi"/>
    <n v="28365"/>
    <x v="7"/>
    <x v="7"/>
    <x v="2"/>
    <x v="0"/>
    <s v="L-2"/>
    <x v="2"/>
    <x v="0"/>
    <n v="12"/>
    <n v="8"/>
    <n v="96"/>
    <n v="1"/>
    <s v="A"/>
    <n v="0.05"/>
    <n v="91.2"/>
  </r>
  <r>
    <n v="9"/>
    <x v="3"/>
    <x v="3"/>
    <n v="6250"/>
    <s v="Hu Lin"/>
    <n v="17717"/>
    <x v="8"/>
    <x v="8"/>
    <x v="2"/>
    <x v="0"/>
    <s v="H-1"/>
    <x v="5"/>
    <x v="0"/>
    <n v="9"/>
    <n v="2"/>
    <n v="18"/>
    <n v="1"/>
    <s v="A"/>
    <n v="0.05"/>
    <n v="17.100000000000001"/>
  </r>
  <r>
    <n v="10"/>
    <x v="3"/>
    <x v="3"/>
    <n v="5400"/>
    <s v="Maisha Karzai"/>
    <n v="15353"/>
    <x v="9"/>
    <x v="1"/>
    <x v="0"/>
    <x v="0"/>
    <s v="H-2"/>
    <x v="6"/>
    <x v="0"/>
    <n v="9.5"/>
    <n v="3"/>
    <n v="28.5"/>
    <n v="2"/>
    <s v="B"/>
    <n v="0.06"/>
    <n v="26.79"/>
  </r>
  <r>
    <n v="11"/>
    <x v="4"/>
    <x v="4"/>
    <n v="1384"/>
    <s v="Igor Almeida"/>
    <n v="24952"/>
    <x v="10"/>
    <x v="8"/>
    <x v="2"/>
    <x v="0"/>
    <s v="H-3"/>
    <x v="7"/>
    <x v="0"/>
    <n v="10"/>
    <n v="8"/>
    <n v="80"/>
    <n v="5"/>
    <s v="E"/>
    <n v="0.15"/>
    <n v="68"/>
  </r>
  <r>
    <n v="12"/>
    <x v="4"/>
    <x v="4"/>
    <n v="6678"/>
    <s v="Amalia A. Ribeiro"/>
    <n v="23585"/>
    <x v="11"/>
    <x v="9"/>
    <x v="0"/>
    <x v="0"/>
    <s v="OS-1"/>
    <x v="8"/>
    <x v="0"/>
    <n v="5.95"/>
    <n v="10"/>
    <n v="59.5"/>
    <n v="2"/>
    <s v="B"/>
    <n v="0.06"/>
    <n v="55.93"/>
  </r>
  <r>
    <n v="13"/>
    <x v="4"/>
    <x v="4"/>
    <n v="6892"/>
    <s v="Fahd Sleiman"/>
    <n v="25929"/>
    <x v="12"/>
    <x v="10"/>
    <x v="0"/>
    <x v="0"/>
    <s v="JJ-4"/>
    <x v="1"/>
    <x v="0"/>
    <n v="8"/>
    <n v="9"/>
    <n v="72"/>
    <n v="5"/>
    <s v="E"/>
    <n v="0.15"/>
    <n v="61.2"/>
  </r>
  <r>
    <n v="14"/>
    <x v="4"/>
    <x v="4"/>
    <n v="5346"/>
    <s v="Sergio Galvez"/>
    <n v="27191"/>
    <x v="13"/>
    <x v="1"/>
    <x v="0"/>
    <x v="0"/>
    <s v="JJ-2"/>
    <x v="9"/>
    <x v="0"/>
    <n v="7.5"/>
    <n v="9"/>
    <n v="67.5"/>
    <n v="0"/>
    <s v="no discount"/>
    <n v="0"/>
    <n v="67.5"/>
  </r>
  <r>
    <n v="15"/>
    <x v="4"/>
    <x v="4"/>
    <n v="6464"/>
    <s v="Hamal M. Azzi"/>
    <n v="15561"/>
    <x v="14"/>
    <x v="8"/>
    <x v="2"/>
    <x v="0"/>
    <s v="OS-2"/>
    <x v="10"/>
    <x v="0"/>
    <n v="5.95"/>
    <n v="2"/>
    <n v="11.9"/>
    <n v="2"/>
    <s v="B"/>
    <n v="0.06"/>
    <n v="11.186"/>
  </r>
  <r>
    <n v="16"/>
    <x v="4"/>
    <x v="4"/>
    <n v="5346"/>
    <s v="Sergio Galvez"/>
    <n v="15256"/>
    <x v="15"/>
    <x v="6"/>
    <x v="0"/>
    <x v="0"/>
    <s v="OS-1"/>
    <x v="8"/>
    <x v="0"/>
    <n v="5.95"/>
    <n v="3"/>
    <n v="17.850000000000001"/>
    <n v="3"/>
    <s v="C"/>
    <n v="0.08"/>
    <n v="16.422000000000001"/>
  </r>
  <r>
    <n v="17"/>
    <x v="5"/>
    <x v="5"/>
    <n v="6678"/>
    <s v="Amalia A. Ribeiro"/>
    <n v="23450"/>
    <x v="16"/>
    <x v="6"/>
    <x v="0"/>
    <x v="0"/>
    <s v="OS-3"/>
    <x v="0"/>
    <x v="0"/>
    <n v="5.95"/>
    <n v="5"/>
    <n v="29.75"/>
    <n v="1"/>
    <s v="A"/>
    <n v="0.05"/>
    <n v="28.262499999999999"/>
  </r>
  <r>
    <n v="18"/>
    <x v="5"/>
    <x v="5"/>
    <n v="1384"/>
    <s v="Igor Almeida"/>
    <n v="20676"/>
    <x v="17"/>
    <x v="9"/>
    <x v="0"/>
    <x v="0"/>
    <s v="H-3"/>
    <x v="7"/>
    <x v="0"/>
    <n v="10"/>
    <n v="3"/>
    <n v="30"/>
    <n v="2"/>
    <s v="B"/>
    <n v="0.06"/>
    <n v="28.2"/>
  </r>
  <r>
    <n v="19"/>
    <x v="5"/>
    <x v="5"/>
    <n v="6892"/>
    <s v="Fahd Sleiman"/>
    <n v="22094"/>
    <x v="18"/>
    <x v="6"/>
    <x v="0"/>
    <x v="0"/>
    <s v="H-1"/>
    <x v="5"/>
    <x v="0"/>
    <n v="9"/>
    <n v="6"/>
    <n v="54"/>
    <n v="5"/>
    <s v="E"/>
    <n v="0.15"/>
    <n v="45.9"/>
  </r>
  <r>
    <n v="20"/>
    <x v="5"/>
    <x v="5"/>
    <n v="4350"/>
    <s v="Mukhtar Masih"/>
    <n v="21339"/>
    <x v="19"/>
    <x v="2"/>
    <x v="0"/>
    <x v="0"/>
    <s v="L-2"/>
    <x v="2"/>
    <x v="0"/>
    <n v="12"/>
    <n v="8"/>
    <n v="96"/>
    <n v="4"/>
    <s v="D"/>
    <n v="0.1"/>
    <n v="86.4"/>
  </r>
  <r>
    <n v="21"/>
    <x v="5"/>
    <x v="5"/>
    <n v="5400"/>
    <s v="Maisha Karzai"/>
    <n v="18495"/>
    <x v="20"/>
    <x v="2"/>
    <x v="0"/>
    <x v="0"/>
    <s v="OS-2"/>
    <x v="10"/>
    <x v="0"/>
    <n v="5.95"/>
    <n v="3"/>
    <n v="17.850000000000001"/>
    <n v="4"/>
    <s v="D"/>
    <n v="0.1"/>
    <n v="16.065000000000001"/>
  </r>
  <r>
    <n v="22"/>
    <x v="6"/>
    <x v="6"/>
    <n v="6571"/>
    <s v="Iker Dominguez"/>
    <n v="18542"/>
    <x v="21"/>
    <x v="11"/>
    <x v="0"/>
    <x v="0"/>
    <s v="JJ-1"/>
    <x v="4"/>
    <x v="0"/>
    <n v="7.5"/>
    <n v="5"/>
    <n v="37.5"/>
    <n v="0"/>
    <s v="no discount"/>
    <n v="0"/>
    <n v="37.5"/>
  </r>
  <r>
    <n v="23"/>
    <x v="6"/>
    <x v="6"/>
    <n v="6357"/>
    <s v="Johnny Bear"/>
    <n v="18854"/>
    <x v="22"/>
    <x v="0"/>
    <x v="0"/>
    <x v="0"/>
    <s v="JJ-1"/>
    <x v="4"/>
    <x v="0"/>
    <n v="7.5"/>
    <n v="1"/>
    <n v="7.5"/>
    <n v="3"/>
    <s v="C"/>
    <n v="0.08"/>
    <n v="6.9"/>
  </r>
  <r>
    <n v="24"/>
    <x v="6"/>
    <x v="6"/>
    <n v="6892"/>
    <s v="Fahd Sleiman"/>
    <n v="17441"/>
    <x v="23"/>
    <x v="6"/>
    <x v="0"/>
    <x v="0"/>
    <s v="JJ-4"/>
    <x v="1"/>
    <x v="0"/>
    <n v="8"/>
    <n v="5"/>
    <n v="40"/>
    <n v="3"/>
    <s v="C"/>
    <n v="0.08"/>
    <n v="36.799999999999997"/>
  </r>
  <r>
    <n v="25"/>
    <x v="7"/>
    <x v="7"/>
    <n v="6464"/>
    <s v="Hamal M. Azzi"/>
    <n v="23211"/>
    <x v="24"/>
    <x v="6"/>
    <x v="0"/>
    <x v="0"/>
    <s v="L-3"/>
    <x v="11"/>
    <x v="0"/>
    <n v="12"/>
    <n v="6"/>
    <n v="72"/>
    <n v="3"/>
    <s v="C"/>
    <n v="0.08"/>
    <n v="66.239999999999995"/>
  </r>
  <r>
    <n v="26"/>
    <x v="8"/>
    <x v="8"/>
    <n v="6464"/>
    <s v="Hamal M. Azzi"/>
    <n v="26500"/>
    <x v="25"/>
    <x v="12"/>
    <x v="0"/>
    <x v="0"/>
    <s v="L-3"/>
    <x v="11"/>
    <x v="0"/>
    <n v="12"/>
    <n v="8"/>
    <n v="96"/>
    <n v="4"/>
    <s v="D"/>
    <n v="0.1"/>
    <n v="86.4"/>
  </r>
  <r>
    <n v="27"/>
    <x v="8"/>
    <x v="8"/>
    <n v="6892"/>
    <s v="Fahd Sleiman"/>
    <n v="27560"/>
    <x v="26"/>
    <x v="3"/>
    <x v="0"/>
    <x v="0"/>
    <s v="H-1"/>
    <x v="5"/>
    <x v="0"/>
    <n v="9"/>
    <n v="10"/>
    <n v="90"/>
    <n v="3"/>
    <s v="C"/>
    <n v="0.08"/>
    <n v="82.8"/>
  </r>
  <r>
    <n v="28"/>
    <x v="8"/>
    <x v="8"/>
    <n v="6678"/>
    <s v="Amalia A. Ribeiro"/>
    <n v="26564"/>
    <x v="27"/>
    <x v="4"/>
    <x v="1"/>
    <x v="0"/>
    <s v="JJ-3"/>
    <x v="3"/>
    <x v="0"/>
    <n v="7.5"/>
    <n v="7"/>
    <n v="52.5"/>
    <n v="5"/>
    <s v="E"/>
    <n v="0.15"/>
    <n v="44.625"/>
  </r>
  <r>
    <n v="29"/>
    <x v="8"/>
    <x v="8"/>
    <n v="6678"/>
    <s v="Amalia A. Ribeiro"/>
    <n v="21959"/>
    <x v="28"/>
    <x v="13"/>
    <x v="0"/>
    <x v="0"/>
    <s v="JJ-1"/>
    <x v="4"/>
    <x v="0"/>
    <n v="7.5"/>
    <n v="10"/>
    <n v="75"/>
    <n v="4"/>
    <s v="D"/>
    <n v="0.1"/>
    <n v="67.5"/>
  </r>
  <r>
    <n v="30"/>
    <x v="9"/>
    <x v="9"/>
    <n v="8064"/>
    <s v="Amal Salazar"/>
    <n v="17338"/>
    <x v="29"/>
    <x v="2"/>
    <x v="0"/>
    <x v="0"/>
    <s v="JJ-4"/>
    <x v="1"/>
    <x v="0"/>
    <n v="8"/>
    <n v="2"/>
    <n v="16"/>
    <n v="0"/>
    <s v="no discount"/>
    <n v="0"/>
    <n v="16"/>
  </r>
  <r>
    <n v="31"/>
    <x v="9"/>
    <x v="9"/>
    <n v="8064"/>
    <s v="Amal Salazar"/>
    <n v="11047"/>
    <x v="30"/>
    <x v="9"/>
    <x v="0"/>
    <x v="0"/>
    <s v="JJ-4"/>
    <x v="1"/>
    <x v="0"/>
    <n v="8"/>
    <n v="5"/>
    <n v="40"/>
    <n v="2"/>
    <s v="B"/>
    <n v="0.06"/>
    <n v="37.6"/>
  </r>
  <r>
    <n v="32"/>
    <x v="9"/>
    <x v="9"/>
    <n v="6250"/>
    <s v="Hu Lin"/>
    <n v="20051"/>
    <x v="31"/>
    <x v="14"/>
    <x v="0"/>
    <x v="0"/>
    <s v="OS-1"/>
    <x v="8"/>
    <x v="0"/>
    <n v="5.95"/>
    <n v="3"/>
    <n v="17.850000000000001"/>
    <n v="5"/>
    <s v="E"/>
    <n v="0.15"/>
    <n v="15.172500000000001"/>
  </r>
  <r>
    <n v="33"/>
    <x v="10"/>
    <x v="10"/>
    <n v="6143"/>
    <s v="Liane A. Cormier"/>
    <n v="21852"/>
    <x v="32"/>
    <x v="2"/>
    <x v="0"/>
    <x v="0"/>
    <s v="OS-2"/>
    <x v="10"/>
    <x v="0"/>
    <n v="5.95"/>
    <n v="3"/>
    <n v="17.850000000000001"/>
    <n v="1"/>
    <s v="A"/>
    <n v="0.05"/>
    <n v="16.957500000000003"/>
  </r>
  <r>
    <n v="34"/>
    <x v="10"/>
    <x v="10"/>
    <n v="5382"/>
    <s v="Diya Nueimat"/>
    <n v="17038"/>
    <x v="33"/>
    <x v="13"/>
    <x v="0"/>
    <x v="0"/>
    <s v="L-2"/>
    <x v="2"/>
    <x v="0"/>
    <n v="12"/>
    <n v="3"/>
    <n v="36"/>
    <n v="0"/>
    <s v="no discount"/>
    <n v="0"/>
    <n v="36"/>
  </r>
  <r>
    <n v="35"/>
    <x v="11"/>
    <x v="11"/>
    <n v="5382"/>
    <s v="Diya Nueimat"/>
    <n v="25226"/>
    <x v="34"/>
    <x v="15"/>
    <x v="0"/>
    <x v="0"/>
    <s v="OS-2"/>
    <x v="10"/>
    <x v="0"/>
    <n v="5.95"/>
    <n v="8"/>
    <n v="47.6"/>
    <n v="5"/>
    <s v="E"/>
    <n v="0.15"/>
    <n v="40.46"/>
  </r>
  <r>
    <n v="36"/>
    <x v="11"/>
    <x v="11"/>
    <n v="6678"/>
    <s v="Amalia A. Ribeiro"/>
    <n v="19904"/>
    <x v="35"/>
    <x v="16"/>
    <x v="0"/>
    <x v="0"/>
    <s v="L-1"/>
    <x v="12"/>
    <x v="0"/>
    <n v="12"/>
    <n v="3"/>
    <n v="36"/>
    <n v="5"/>
    <s v="E"/>
    <n v="0.15"/>
    <n v="30.6"/>
  </r>
  <r>
    <n v="37"/>
    <x v="11"/>
    <x v="11"/>
    <n v="6250"/>
    <s v="Hu Lin"/>
    <n v="10558"/>
    <x v="36"/>
    <x v="2"/>
    <x v="0"/>
    <x v="0"/>
    <s v="OS-1"/>
    <x v="8"/>
    <x v="0"/>
    <n v="5.95"/>
    <n v="6"/>
    <n v="35.700000000000003"/>
    <n v="5"/>
    <s v="E"/>
    <n v="0.15"/>
    <n v="30.345000000000002"/>
  </r>
  <r>
    <n v="38"/>
    <x v="11"/>
    <x v="11"/>
    <n v="5418"/>
    <s v="Isabell Couture"/>
    <n v="15288"/>
    <x v="37"/>
    <x v="9"/>
    <x v="0"/>
    <x v="0"/>
    <s v="OS-3"/>
    <x v="0"/>
    <x v="0"/>
    <n v="5.95"/>
    <n v="5"/>
    <n v="29.75"/>
    <n v="4"/>
    <s v="D"/>
    <n v="0.1"/>
    <n v="26.774999999999999"/>
  </r>
  <r>
    <n v="39"/>
    <x v="11"/>
    <x v="11"/>
    <n v="6250"/>
    <s v="Hu Lin"/>
    <n v="12882"/>
    <x v="38"/>
    <x v="13"/>
    <x v="0"/>
    <x v="0"/>
    <s v="L-2"/>
    <x v="2"/>
    <x v="0"/>
    <n v="12"/>
    <n v="8"/>
    <n v="96"/>
    <n v="4"/>
    <s v="D"/>
    <n v="0.1"/>
    <n v="86.4"/>
  </r>
  <r>
    <n v="40"/>
    <x v="11"/>
    <x v="11"/>
    <n v="6357"/>
    <s v="Johnny Bear"/>
    <n v="11124"/>
    <x v="3"/>
    <x v="3"/>
    <x v="0"/>
    <x v="0"/>
    <s v="L-3"/>
    <x v="11"/>
    <x v="0"/>
    <n v="12"/>
    <n v="3"/>
    <n v="36"/>
    <n v="5"/>
    <s v="E"/>
    <n v="0.15"/>
    <n v="30.6"/>
  </r>
  <r>
    <n v="41"/>
    <x v="12"/>
    <x v="12"/>
    <n v="8064"/>
    <s v="Amal Salazar"/>
    <n v="20177"/>
    <x v="39"/>
    <x v="2"/>
    <x v="0"/>
    <x v="0"/>
    <s v="JJ-4"/>
    <x v="1"/>
    <x v="0"/>
    <n v="8"/>
    <n v="2"/>
    <n v="16"/>
    <n v="0"/>
    <s v="no discount"/>
    <n v="0"/>
    <n v="16"/>
  </r>
  <r>
    <n v="42"/>
    <x v="13"/>
    <x v="13"/>
    <n v="8064"/>
    <s v="Amal Salazar"/>
    <n v="27995"/>
    <x v="40"/>
    <x v="3"/>
    <x v="0"/>
    <x v="0"/>
    <s v="OS-1"/>
    <x v="8"/>
    <x v="0"/>
    <n v="5.95"/>
    <n v="9"/>
    <n v="53.550000000000004"/>
    <n v="5"/>
    <s v="E"/>
    <n v="0.15"/>
    <n v="45.517500000000005"/>
  </r>
  <r>
    <n v="43"/>
    <x v="14"/>
    <x v="14"/>
    <n v="6464"/>
    <s v="Hamal M. Azzi"/>
    <n v="18679"/>
    <x v="41"/>
    <x v="10"/>
    <x v="0"/>
    <x v="0"/>
    <s v="L-2"/>
    <x v="2"/>
    <x v="0"/>
    <n v="12"/>
    <n v="4"/>
    <n v="48"/>
    <n v="2"/>
    <s v="B"/>
    <n v="0.06"/>
    <n v="45.12"/>
  </r>
  <r>
    <n v="44"/>
    <x v="14"/>
    <x v="14"/>
    <n v="6678"/>
    <s v="Amalia A. Ribeiro"/>
    <n v="18436"/>
    <x v="42"/>
    <x v="1"/>
    <x v="0"/>
    <x v="0"/>
    <s v="OS-1"/>
    <x v="8"/>
    <x v="0"/>
    <n v="5.95"/>
    <n v="2"/>
    <n v="11.9"/>
    <n v="1"/>
    <s v="A"/>
    <n v="0.05"/>
    <n v="11.305"/>
  </r>
  <r>
    <n v="45"/>
    <x v="15"/>
    <x v="15"/>
    <n v="5346"/>
    <s v="Sergio Galvez"/>
    <n v="19375"/>
    <x v="43"/>
    <x v="6"/>
    <x v="0"/>
    <x v="0"/>
    <s v="L-3"/>
    <x v="11"/>
    <x v="0"/>
    <n v="12"/>
    <n v="9"/>
    <n v="108"/>
    <n v="3"/>
    <s v="C"/>
    <n v="0.08"/>
    <n v="99.36"/>
  </r>
  <r>
    <n v="46"/>
    <x v="15"/>
    <x v="15"/>
    <n v="8064"/>
    <s v="Amal Salazar"/>
    <n v="22015"/>
    <x v="44"/>
    <x v="8"/>
    <x v="2"/>
    <x v="0"/>
    <s v="OS-1"/>
    <x v="8"/>
    <x v="0"/>
    <n v="5.95"/>
    <n v="6"/>
    <n v="35.700000000000003"/>
    <n v="2"/>
    <s v="B"/>
    <n v="0.06"/>
    <n v="33.558"/>
  </r>
  <r>
    <n v="47"/>
    <x v="16"/>
    <x v="16"/>
    <n v="6571"/>
    <s v="Iker Dominguez"/>
    <n v="28732"/>
    <x v="45"/>
    <x v="11"/>
    <x v="0"/>
    <x v="0"/>
    <s v="L-2"/>
    <x v="2"/>
    <x v="0"/>
    <n v="12"/>
    <n v="3"/>
    <n v="36"/>
    <n v="2"/>
    <s v="B"/>
    <n v="0.06"/>
    <n v="33.840000000000003"/>
  </r>
  <r>
    <n v="48"/>
    <x v="16"/>
    <x v="16"/>
    <n v="6464"/>
    <s v="Hamal M. Azzi"/>
    <n v="18679"/>
    <x v="41"/>
    <x v="10"/>
    <x v="0"/>
    <x v="0"/>
    <s v="L-3"/>
    <x v="11"/>
    <x v="0"/>
    <n v="12"/>
    <n v="2"/>
    <n v="24"/>
    <n v="1"/>
    <s v="A"/>
    <n v="0.05"/>
    <n v="22.8"/>
  </r>
  <r>
    <n v="49"/>
    <x v="17"/>
    <x v="17"/>
    <n v="8064"/>
    <s v="Amal Salazar"/>
    <n v="24924"/>
    <x v="46"/>
    <x v="9"/>
    <x v="0"/>
    <x v="0"/>
    <s v="JJ-1"/>
    <x v="4"/>
    <x v="0"/>
    <n v="7.5"/>
    <n v="4"/>
    <n v="30"/>
    <n v="5"/>
    <s v="E"/>
    <n v="0.15"/>
    <n v="25.5"/>
  </r>
  <r>
    <n v="50"/>
    <x v="17"/>
    <x v="17"/>
    <n v="6143"/>
    <s v="Liane A. Cormier"/>
    <n v="22713"/>
    <x v="4"/>
    <x v="4"/>
    <x v="1"/>
    <x v="0"/>
    <s v="JJ-4"/>
    <x v="1"/>
    <x v="0"/>
    <n v="8"/>
    <n v="8"/>
    <n v="64"/>
    <n v="0"/>
    <s v="no discount"/>
    <n v="0"/>
    <n v="64"/>
  </r>
  <r>
    <n v="51"/>
    <x v="17"/>
    <x v="17"/>
    <n v="6250"/>
    <s v="Hu Lin"/>
    <n v="18542"/>
    <x v="21"/>
    <x v="11"/>
    <x v="0"/>
    <x v="0"/>
    <s v="JJ-2"/>
    <x v="9"/>
    <x v="0"/>
    <n v="7.5"/>
    <n v="7"/>
    <n v="52.5"/>
    <n v="0"/>
    <s v="no discount"/>
    <n v="0"/>
    <n v="52.5"/>
  </r>
  <r>
    <n v="52"/>
    <x v="17"/>
    <x v="17"/>
    <n v="8064"/>
    <s v="Amal Salazar"/>
    <n v="22645"/>
    <x v="47"/>
    <x v="2"/>
    <x v="0"/>
    <x v="0"/>
    <s v="JJ-3"/>
    <x v="3"/>
    <x v="0"/>
    <n v="7.5"/>
    <n v="4"/>
    <n v="30"/>
    <n v="2"/>
    <s v="B"/>
    <n v="0.06"/>
    <n v="28.2"/>
  </r>
  <r>
    <n v="53"/>
    <x v="17"/>
    <x v="17"/>
    <n v="5454"/>
    <s v="Anna Cunha"/>
    <n v="21293"/>
    <x v="48"/>
    <x v="14"/>
    <x v="0"/>
    <x v="0"/>
    <s v="OS-1"/>
    <x v="8"/>
    <x v="0"/>
    <n v="5.95"/>
    <n v="10"/>
    <n v="59.5"/>
    <n v="2"/>
    <s v="B"/>
    <n v="0.06"/>
    <n v="55.93"/>
  </r>
  <r>
    <n v="54"/>
    <x v="18"/>
    <x v="18"/>
    <n v="6892"/>
    <s v="Fahd Sleiman"/>
    <n v="21785"/>
    <x v="49"/>
    <x v="2"/>
    <x v="0"/>
    <x v="0"/>
    <s v="H-1"/>
    <x v="5"/>
    <x v="0"/>
    <n v="9"/>
    <n v="6"/>
    <n v="54"/>
    <n v="5"/>
    <s v="E"/>
    <n v="0.15"/>
    <n v="45.9"/>
  </r>
  <r>
    <n v="55"/>
    <x v="18"/>
    <x v="18"/>
    <n v="8064"/>
    <s v="Amal Salazar"/>
    <n v="22911"/>
    <x v="50"/>
    <x v="10"/>
    <x v="0"/>
    <x v="0"/>
    <s v="OS-2"/>
    <x v="10"/>
    <x v="0"/>
    <n v="5.95"/>
    <n v="5"/>
    <n v="29.75"/>
    <n v="0"/>
    <s v="no discount"/>
    <n v="0"/>
    <n v="29.75"/>
  </r>
  <r>
    <n v="56"/>
    <x v="18"/>
    <x v="18"/>
    <n v="5454"/>
    <s v="Anna Cunha"/>
    <n v="22611"/>
    <x v="51"/>
    <x v="16"/>
    <x v="0"/>
    <x v="0"/>
    <s v="H-3"/>
    <x v="7"/>
    <x v="0"/>
    <n v="10"/>
    <n v="4"/>
    <n v="40"/>
    <n v="1"/>
    <s v="A"/>
    <n v="0.05"/>
    <n v="38"/>
  </r>
  <r>
    <n v="57"/>
    <x v="18"/>
    <x v="18"/>
    <n v="6892"/>
    <s v="Fahd Sleiman"/>
    <n v="24142"/>
    <x v="52"/>
    <x v="13"/>
    <x v="0"/>
    <x v="0"/>
    <s v="OS-3"/>
    <x v="0"/>
    <x v="0"/>
    <n v="5.95"/>
    <n v="4"/>
    <n v="23.8"/>
    <n v="2"/>
    <s v="B"/>
    <n v="0.06"/>
    <n v="22.372"/>
  </r>
  <r>
    <n v="58"/>
    <x v="18"/>
    <x v="18"/>
    <n v="8064"/>
    <s v="Amal Salazar"/>
    <n v="25355"/>
    <x v="53"/>
    <x v="16"/>
    <x v="0"/>
    <x v="0"/>
    <s v="L-1"/>
    <x v="12"/>
    <x v="0"/>
    <n v="12"/>
    <n v="8"/>
    <n v="96"/>
    <n v="0"/>
    <s v="no discount"/>
    <n v="0"/>
    <n v="96"/>
  </r>
  <r>
    <n v="59"/>
    <x v="18"/>
    <x v="18"/>
    <n v="5400"/>
    <s v="Maisha Karzai"/>
    <n v="26269"/>
    <x v="54"/>
    <x v="15"/>
    <x v="0"/>
    <x v="0"/>
    <s v="JJ-2"/>
    <x v="9"/>
    <x v="0"/>
    <n v="7.5"/>
    <n v="9"/>
    <n v="67.5"/>
    <n v="4"/>
    <s v="D"/>
    <n v="0.1"/>
    <n v="60.75"/>
  </r>
  <r>
    <n v="60"/>
    <x v="19"/>
    <x v="19"/>
    <n v="8064"/>
    <s v="Amal Salazar"/>
    <n v="23455"/>
    <x v="55"/>
    <x v="4"/>
    <x v="1"/>
    <x v="0"/>
    <s v="OS-1"/>
    <x v="8"/>
    <x v="0"/>
    <n v="5.95"/>
    <n v="1"/>
    <n v="5.95"/>
    <n v="0"/>
    <s v="no discount"/>
    <n v="0"/>
    <n v="5.95"/>
  </r>
  <r>
    <n v="61"/>
    <x v="19"/>
    <x v="19"/>
    <n v="6678"/>
    <s v="Amalia A. Ribeiro"/>
    <n v="13014"/>
    <x v="56"/>
    <x v="6"/>
    <x v="0"/>
    <x v="0"/>
    <s v="JJ-4"/>
    <x v="1"/>
    <x v="0"/>
    <n v="8"/>
    <n v="8"/>
    <n v="64"/>
    <n v="5"/>
    <s v="E"/>
    <n v="0.15"/>
    <n v="54.4"/>
  </r>
  <r>
    <n v="62"/>
    <x v="20"/>
    <x v="20"/>
    <n v="5454"/>
    <s v="Anna Cunha"/>
    <n v="11347"/>
    <x v="57"/>
    <x v="12"/>
    <x v="0"/>
    <x v="0"/>
    <s v="JJ-3"/>
    <x v="3"/>
    <x v="0"/>
    <n v="7.5"/>
    <n v="1"/>
    <n v="7.5"/>
    <n v="0"/>
    <s v="no discount"/>
    <n v="0"/>
    <n v="7.5"/>
  </r>
  <r>
    <n v="63"/>
    <x v="21"/>
    <x v="21"/>
    <n v="1384"/>
    <s v="Igor Almeida"/>
    <n v="17252"/>
    <x v="58"/>
    <x v="11"/>
    <x v="0"/>
    <x v="0"/>
    <s v="H-1"/>
    <x v="5"/>
    <x v="0"/>
    <n v="9"/>
    <n v="5"/>
    <n v="45"/>
    <n v="1"/>
    <s v="A"/>
    <n v="0.05"/>
    <n v="42.75"/>
  </r>
  <r>
    <n v="64"/>
    <x v="21"/>
    <x v="21"/>
    <n v="6678"/>
    <s v="Amalia A. Ribeiro"/>
    <n v="12883"/>
    <x v="59"/>
    <x v="8"/>
    <x v="2"/>
    <x v="0"/>
    <s v="L-3"/>
    <x v="11"/>
    <x v="0"/>
    <n v="12"/>
    <n v="3"/>
    <n v="36"/>
    <n v="4"/>
    <s v="D"/>
    <n v="0.1"/>
    <n v="32.4"/>
  </r>
  <r>
    <n v="65"/>
    <x v="22"/>
    <x v="22"/>
    <n v="8064"/>
    <s v="Amal Salazar"/>
    <n v="17067"/>
    <x v="60"/>
    <x v="7"/>
    <x v="2"/>
    <x v="0"/>
    <s v="H-1"/>
    <x v="5"/>
    <x v="0"/>
    <n v="9"/>
    <n v="2"/>
    <n v="18"/>
    <n v="3"/>
    <s v="C"/>
    <n v="0.08"/>
    <n v="16.559999999999999"/>
  </r>
  <r>
    <n v="66"/>
    <x v="22"/>
    <x v="22"/>
    <n v="5454"/>
    <s v="Anna Cunha"/>
    <n v="16272"/>
    <x v="61"/>
    <x v="2"/>
    <x v="0"/>
    <x v="0"/>
    <s v="L-3"/>
    <x v="11"/>
    <x v="0"/>
    <n v="12"/>
    <n v="4"/>
    <n v="48"/>
    <n v="2"/>
    <s v="B"/>
    <n v="0.06"/>
    <n v="45.12"/>
  </r>
  <r>
    <n v="67"/>
    <x v="23"/>
    <x v="23"/>
    <n v="8064"/>
    <s v="Amal Salazar"/>
    <n v="21104"/>
    <x v="62"/>
    <x v="6"/>
    <x v="0"/>
    <x v="0"/>
    <s v="OS-3"/>
    <x v="0"/>
    <x v="0"/>
    <n v="5.95"/>
    <n v="10"/>
    <n v="59.5"/>
    <n v="5"/>
    <s v="E"/>
    <n v="0.15"/>
    <n v="50.575000000000003"/>
  </r>
  <r>
    <n v="68"/>
    <x v="24"/>
    <x v="24"/>
    <n v="6464"/>
    <s v="Hamal M. Azzi"/>
    <n v="22708"/>
    <x v="63"/>
    <x v="9"/>
    <x v="0"/>
    <x v="0"/>
    <s v="H-3"/>
    <x v="7"/>
    <x v="0"/>
    <n v="10"/>
    <n v="1"/>
    <n v="10"/>
    <n v="3"/>
    <s v="C"/>
    <n v="0.08"/>
    <n v="9.1999999999999993"/>
  </r>
  <r>
    <n v="69"/>
    <x v="24"/>
    <x v="24"/>
    <n v="6892"/>
    <s v="Fahd Sleiman"/>
    <n v="18495"/>
    <x v="20"/>
    <x v="2"/>
    <x v="0"/>
    <x v="0"/>
    <s v="OS-1"/>
    <x v="8"/>
    <x v="0"/>
    <n v="5.95"/>
    <n v="7"/>
    <n v="41.65"/>
    <n v="4"/>
    <s v="D"/>
    <n v="0.1"/>
    <n v="37.484999999999999"/>
  </r>
  <r>
    <n v="70"/>
    <x v="24"/>
    <x v="24"/>
    <n v="5382"/>
    <s v="Diya Nueimat"/>
    <n v="18854"/>
    <x v="22"/>
    <x v="0"/>
    <x v="0"/>
    <x v="0"/>
    <s v="JJ-2"/>
    <x v="9"/>
    <x v="0"/>
    <n v="7.5"/>
    <n v="1"/>
    <n v="7.5"/>
    <n v="5"/>
    <s v="E"/>
    <n v="0.15"/>
    <n v="6.375"/>
  </r>
  <r>
    <n v="71"/>
    <x v="24"/>
    <x v="24"/>
    <n v="8064"/>
    <s v="Amal Salazar"/>
    <n v="21064"/>
    <x v="6"/>
    <x v="6"/>
    <x v="0"/>
    <x v="0"/>
    <s v="JJ-2"/>
    <x v="9"/>
    <x v="0"/>
    <n v="7.5"/>
    <n v="9"/>
    <n v="67.5"/>
    <n v="0"/>
    <s v="no discount"/>
    <n v="0"/>
    <n v="67.5"/>
  </r>
  <r>
    <n v="72"/>
    <x v="25"/>
    <x v="25"/>
    <n v="5454"/>
    <s v="Anna Cunha"/>
    <n v="10340"/>
    <x v="64"/>
    <x v="9"/>
    <x v="0"/>
    <x v="0"/>
    <s v="L-1"/>
    <x v="12"/>
    <x v="0"/>
    <n v="12"/>
    <n v="7"/>
    <n v="84"/>
    <n v="0"/>
    <s v="no discount"/>
    <n v="0"/>
    <n v="84"/>
  </r>
  <r>
    <n v="73"/>
    <x v="26"/>
    <x v="26"/>
    <n v="6464"/>
    <s v="Hamal M. Azzi"/>
    <n v="18265"/>
    <x v="65"/>
    <x v="6"/>
    <x v="0"/>
    <x v="0"/>
    <s v="OS-2"/>
    <x v="10"/>
    <x v="0"/>
    <n v="5.95"/>
    <n v="9"/>
    <n v="53.550000000000004"/>
    <n v="2"/>
    <s v="B"/>
    <n v="0.06"/>
    <n v="50.337000000000003"/>
  </r>
  <r>
    <n v="74"/>
    <x v="27"/>
    <x v="27"/>
    <n v="5454"/>
    <s v="Anna Cunha"/>
    <n v="13739"/>
    <x v="66"/>
    <x v="4"/>
    <x v="1"/>
    <x v="0"/>
    <s v="H-2"/>
    <x v="6"/>
    <x v="0"/>
    <n v="9.5"/>
    <n v="3"/>
    <n v="28.5"/>
    <n v="1"/>
    <s v="A"/>
    <n v="0.05"/>
    <n v="27.074999999999999"/>
  </r>
  <r>
    <n v="75"/>
    <x v="27"/>
    <x v="27"/>
    <n v="1384"/>
    <s v="Igor Almeida"/>
    <n v="10075"/>
    <x v="67"/>
    <x v="2"/>
    <x v="0"/>
    <x v="0"/>
    <s v="H-1"/>
    <x v="5"/>
    <x v="0"/>
    <n v="9"/>
    <n v="9"/>
    <n v="81"/>
    <n v="1"/>
    <s v="A"/>
    <n v="0.05"/>
    <n v="76.95"/>
  </r>
  <r>
    <n v="76"/>
    <x v="28"/>
    <x v="28"/>
    <n v="6143"/>
    <s v="Liane A. Cormier"/>
    <n v="10061"/>
    <x v="68"/>
    <x v="2"/>
    <x v="0"/>
    <x v="0"/>
    <s v="H-1"/>
    <x v="5"/>
    <x v="0"/>
    <n v="9"/>
    <n v="5"/>
    <n v="45"/>
    <n v="0"/>
    <s v="no discount"/>
    <n v="0"/>
    <n v="45"/>
  </r>
  <r>
    <n v="77"/>
    <x v="28"/>
    <x v="28"/>
    <n v="6892"/>
    <s v="Fahd Sleiman"/>
    <n v="12793"/>
    <x v="69"/>
    <x v="9"/>
    <x v="0"/>
    <x v="0"/>
    <s v="OS-3"/>
    <x v="0"/>
    <x v="0"/>
    <n v="5.95"/>
    <n v="1"/>
    <n v="5.95"/>
    <n v="3"/>
    <s v="C"/>
    <n v="0.08"/>
    <n v="5.4740000000000002"/>
  </r>
  <r>
    <n v="78"/>
    <x v="29"/>
    <x v="29"/>
    <n v="6464"/>
    <s v="Hamal M. Azzi"/>
    <n v="18436"/>
    <x v="42"/>
    <x v="1"/>
    <x v="0"/>
    <x v="0"/>
    <s v="OS-2"/>
    <x v="10"/>
    <x v="0"/>
    <n v="5.95"/>
    <n v="1"/>
    <n v="5.95"/>
    <n v="0"/>
    <s v="no discount"/>
    <n v="0"/>
    <n v="5.95"/>
  </r>
  <r>
    <n v="79"/>
    <x v="30"/>
    <x v="30"/>
    <n v="6892"/>
    <s v="Fahd Sleiman"/>
    <n v="12793"/>
    <x v="69"/>
    <x v="9"/>
    <x v="0"/>
    <x v="0"/>
    <s v="OS-2"/>
    <x v="10"/>
    <x v="0"/>
    <n v="5.95"/>
    <n v="6"/>
    <n v="35.700000000000003"/>
    <n v="3"/>
    <s v="C"/>
    <n v="0.08"/>
    <n v="32.844000000000001"/>
  </r>
  <r>
    <n v="80"/>
    <x v="30"/>
    <x v="30"/>
    <n v="6678"/>
    <s v="Amalia A. Ribeiro"/>
    <n v="18982"/>
    <x v="70"/>
    <x v="16"/>
    <x v="0"/>
    <x v="0"/>
    <s v="JJ-1"/>
    <x v="4"/>
    <x v="0"/>
    <n v="7.5"/>
    <n v="10"/>
    <n v="75"/>
    <n v="2"/>
    <s v="B"/>
    <n v="0.06"/>
    <n v="70.5"/>
  </r>
  <r>
    <n v="81"/>
    <x v="30"/>
    <x v="30"/>
    <n v="1384"/>
    <s v="Igor Almeida"/>
    <n v="24926"/>
    <x v="71"/>
    <x v="14"/>
    <x v="0"/>
    <x v="0"/>
    <s v="JJ-2"/>
    <x v="9"/>
    <x v="0"/>
    <n v="7.5"/>
    <n v="9"/>
    <n v="67.5"/>
    <n v="3"/>
    <s v="C"/>
    <n v="0.08"/>
    <n v="62.1"/>
  </r>
  <r>
    <n v="82"/>
    <x v="30"/>
    <x v="30"/>
    <n v="5382"/>
    <s v="Diya Nueimat"/>
    <n v="10681"/>
    <x v="5"/>
    <x v="5"/>
    <x v="0"/>
    <x v="0"/>
    <s v="H-1"/>
    <x v="5"/>
    <x v="0"/>
    <n v="9"/>
    <n v="3"/>
    <n v="27"/>
    <n v="5"/>
    <s v="E"/>
    <n v="0.15"/>
    <n v="22.95"/>
  </r>
  <r>
    <n v="83"/>
    <x v="31"/>
    <x v="31"/>
    <n v="8064"/>
    <s v="Amal Salazar"/>
    <n v="19112"/>
    <x v="72"/>
    <x v="0"/>
    <x v="0"/>
    <x v="0"/>
    <s v="H-2"/>
    <x v="6"/>
    <x v="0"/>
    <n v="9.5"/>
    <n v="3"/>
    <n v="28.5"/>
    <n v="3"/>
    <s v="C"/>
    <n v="0.08"/>
    <n v="26.22"/>
  </r>
  <r>
    <n v="84"/>
    <x v="31"/>
    <x v="31"/>
    <n v="6464"/>
    <s v="Hamal M. Azzi"/>
    <n v="25523"/>
    <x v="73"/>
    <x v="6"/>
    <x v="0"/>
    <x v="0"/>
    <s v="OS-1"/>
    <x v="8"/>
    <x v="0"/>
    <n v="5.95"/>
    <n v="8"/>
    <n v="47.6"/>
    <n v="5"/>
    <s v="E"/>
    <n v="0.15"/>
    <n v="40.46"/>
  </r>
  <r>
    <n v="85"/>
    <x v="32"/>
    <x v="32"/>
    <n v="8064"/>
    <s v="Amal Salazar"/>
    <n v="22544"/>
    <x v="74"/>
    <x v="0"/>
    <x v="0"/>
    <x v="0"/>
    <s v="H-1"/>
    <x v="5"/>
    <x v="0"/>
    <n v="9"/>
    <n v="6"/>
    <n v="54"/>
    <n v="3"/>
    <s v="C"/>
    <n v="0.08"/>
    <n v="49.68"/>
  </r>
  <r>
    <n v="86"/>
    <x v="32"/>
    <x v="32"/>
    <n v="5418"/>
    <s v="Isabell Couture"/>
    <n v="17338"/>
    <x v="29"/>
    <x v="2"/>
    <x v="0"/>
    <x v="0"/>
    <s v="L-1"/>
    <x v="12"/>
    <x v="0"/>
    <n v="12"/>
    <n v="8"/>
    <n v="96"/>
    <n v="5"/>
    <s v="E"/>
    <n v="0.15"/>
    <n v="81.599999999999994"/>
  </r>
  <r>
    <n v="87"/>
    <x v="33"/>
    <x v="33"/>
    <n v="6892"/>
    <s v="Fahd Sleiman"/>
    <n v="25764"/>
    <x v="75"/>
    <x v="12"/>
    <x v="0"/>
    <x v="0"/>
    <s v="L-3"/>
    <x v="11"/>
    <x v="0"/>
    <n v="12"/>
    <n v="1"/>
    <n v="12"/>
    <n v="1"/>
    <s v="A"/>
    <n v="0.05"/>
    <n v="11.4"/>
  </r>
  <r>
    <n v="88"/>
    <x v="33"/>
    <x v="33"/>
    <n v="6464"/>
    <s v="Hamal M. Azzi"/>
    <n v="20912"/>
    <x v="76"/>
    <x v="13"/>
    <x v="0"/>
    <x v="0"/>
    <s v="H-2"/>
    <x v="6"/>
    <x v="0"/>
    <n v="9.5"/>
    <n v="1"/>
    <n v="9.5"/>
    <n v="5"/>
    <s v="E"/>
    <n v="0.15"/>
    <n v="8.0749999999999993"/>
  </r>
  <r>
    <n v="89"/>
    <x v="33"/>
    <x v="33"/>
    <n v="6143"/>
    <s v="Liane A. Cormier"/>
    <n v="11347"/>
    <x v="57"/>
    <x v="12"/>
    <x v="0"/>
    <x v="0"/>
    <s v="JJ-4"/>
    <x v="1"/>
    <x v="0"/>
    <n v="8"/>
    <n v="5"/>
    <n v="40"/>
    <n v="2"/>
    <s v="B"/>
    <n v="0.06"/>
    <n v="37.6"/>
  </r>
  <r>
    <n v="90"/>
    <x v="34"/>
    <x v="34"/>
    <n v="6678"/>
    <s v="Amalia A. Ribeiro"/>
    <n v="25511"/>
    <x v="77"/>
    <x v="3"/>
    <x v="0"/>
    <x v="0"/>
    <s v="H-2"/>
    <x v="6"/>
    <x v="0"/>
    <n v="9.5"/>
    <n v="2"/>
    <n v="19"/>
    <n v="0"/>
    <s v="no discount"/>
    <n v="0"/>
    <n v="19"/>
  </r>
  <r>
    <n v="91"/>
    <x v="34"/>
    <x v="34"/>
    <n v="6250"/>
    <s v="Hu Lin"/>
    <n v="24461"/>
    <x v="78"/>
    <x v="6"/>
    <x v="0"/>
    <x v="0"/>
    <s v="H-3"/>
    <x v="7"/>
    <x v="0"/>
    <n v="10"/>
    <n v="5"/>
    <n v="50"/>
    <n v="5"/>
    <s v="E"/>
    <n v="0.15"/>
    <n v="42.5"/>
  </r>
  <r>
    <n v="92"/>
    <x v="35"/>
    <x v="35"/>
    <n v="6678"/>
    <s v="Amalia A. Ribeiro"/>
    <n v="11047"/>
    <x v="30"/>
    <x v="9"/>
    <x v="0"/>
    <x v="0"/>
    <s v="JJ-3"/>
    <x v="3"/>
    <x v="0"/>
    <n v="7.5"/>
    <n v="4"/>
    <n v="30"/>
    <n v="1"/>
    <s v="A"/>
    <n v="0.05"/>
    <n v="28.5"/>
  </r>
  <r>
    <n v="93"/>
    <x v="35"/>
    <x v="35"/>
    <n v="6892"/>
    <s v="Fahd Sleiman"/>
    <n v="12032"/>
    <x v="79"/>
    <x v="6"/>
    <x v="0"/>
    <x v="0"/>
    <s v="L-1"/>
    <x v="12"/>
    <x v="0"/>
    <n v="12"/>
    <n v="8"/>
    <n v="96"/>
    <n v="4"/>
    <s v="D"/>
    <n v="0.1"/>
    <n v="86.4"/>
  </r>
  <r>
    <n v="94"/>
    <x v="36"/>
    <x v="36"/>
    <n v="5400"/>
    <s v="Maisha Karzai"/>
    <n v="27560"/>
    <x v="26"/>
    <x v="3"/>
    <x v="0"/>
    <x v="0"/>
    <s v="H-2"/>
    <x v="6"/>
    <x v="0"/>
    <n v="9.5"/>
    <n v="3"/>
    <n v="28.5"/>
    <n v="2"/>
    <s v="B"/>
    <n v="0.06"/>
    <n v="26.79"/>
  </r>
  <r>
    <n v="95"/>
    <x v="36"/>
    <x v="36"/>
    <n v="6678"/>
    <s v="Amalia A. Ribeiro"/>
    <n v="15464"/>
    <x v="80"/>
    <x v="17"/>
    <x v="0"/>
    <x v="0"/>
    <s v="L-2"/>
    <x v="2"/>
    <x v="0"/>
    <n v="12"/>
    <n v="7"/>
    <n v="84"/>
    <n v="4"/>
    <s v="D"/>
    <n v="0.1"/>
    <n v="75.599999999999994"/>
  </r>
  <r>
    <n v="96"/>
    <x v="37"/>
    <x v="37"/>
    <n v="8064"/>
    <s v="Amal Salazar"/>
    <n v="12971"/>
    <x v="81"/>
    <x v="14"/>
    <x v="0"/>
    <x v="0"/>
    <s v="JJ-3"/>
    <x v="3"/>
    <x v="0"/>
    <n v="7.5"/>
    <n v="10"/>
    <n v="75"/>
    <n v="2"/>
    <s v="B"/>
    <n v="0.06"/>
    <n v="70.5"/>
  </r>
  <r>
    <n v="97"/>
    <x v="38"/>
    <x v="38"/>
    <n v="6250"/>
    <s v="Hu Lin"/>
    <n v="12883"/>
    <x v="59"/>
    <x v="8"/>
    <x v="2"/>
    <x v="0"/>
    <s v="L-2"/>
    <x v="2"/>
    <x v="0"/>
    <n v="12"/>
    <n v="7"/>
    <n v="84"/>
    <n v="4"/>
    <s v="D"/>
    <n v="0.1"/>
    <n v="75.599999999999994"/>
  </r>
  <r>
    <n v="98"/>
    <x v="38"/>
    <x v="38"/>
    <n v="5418"/>
    <s v="Isabell Couture"/>
    <n v="16736"/>
    <x v="2"/>
    <x v="2"/>
    <x v="0"/>
    <x v="0"/>
    <s v="OS-2"/>
    <x v="10"/>
    <x v="0"/>
    <n v="5.95"/>
    <n v="4"/>
    <n v="23.8"/>
    <n v="1"/>
    <s v="A"/>
    <n v="0.05"/>
    <n v="22.61"/>
  </r>
  <r>
    <n v="99"/>
    <x v="39"/>
    <x v="39"/>
    <n v="6464"/>
    <s v="Hamal M. Azzi"/>
    <n v="28365"/>
    <x v="7"/>
    <x v="7"/>
    <x v="2"/>
    <x v="0"/>
    <s v="L-1"/>
    <x v="12"/>
    <x v="0"/>
    <n v="12"/>
    <n v="7"/>
    <n v="84"/>
    <n v="1"/>
    <s v="A"/>
    <n v="0.05"/>
    <n v="79.8"/>
  </r>
  <r>
    <n v="100"/>
    <x v="39"/>
    <x v="39"/>
    <n v="5400"/>
    <s v="Maisha Karzai"/>
    <n v="16974"/>
    <x v="82"/>
    <x v="5"/>
    <x v="0"/>
    <x v="0"/>
    <s v="L-2"/>
    <x v="2"/>
    <x v="0"/>
    <n v="12"/>
    <n v="4"/>
    <n v="48"/>
    <n v="0"/>
    <s v="no discount"/>
    <n v="0"/>
    <n v="48"/>
  </r>
  <r>
    <n v="101"/>
    <x v="40"/>
    <x v="40"/>
    <n v="6464"/>
    <s v="Hamal M. Azzi"/>
    <n v="15353"/>
    <x v="9"/>
    <x v="1"/>
    <x v="0"/>
    <x v="0"/>
    <s v="OS-3"/>
    <x v="0"/>
    <x v="0"/>
    <n v="5.95"/>
    <n v="3"/>
    <n v="17.850000000000001"/>
    <n v="3"/>
    <s v="C"/>
    <n v="0.08"/>
    <n v="16.422000000000001"/>
  </r>
  <r>
    <n v="102"/>
    <x v="40"/>
    <x v="40"/>
    <n v="5382"/>
    <s v="Diya Nueimat"/>
    <n v="26269"/>
    <x v="54"/>
    <x v="15"/>
    <x v="0"/>
    <x v="0"/>
    <s v="JJ-1"/>
    <x v="4"/>
    <x v="0"/>
    <n v="7.5"/>
    <n v="3"/>
    <n v="22.5"/>
    <n v="3"/>
    <s v="C"/>
    <n v="0.08"/>
    <n v="20.7"/>
  </r>
  <r>
    <n v="103"/>
    <x v="41"/>
    <x v="41"/>
    <n v="6464"/>
    <s v="Hamal M. Azzi"/>
    <n v="16272"/>
    <x v="61"/>
    <x v="2"/>
    <x v="0"/>
    <x v="0"/>
    <s v="L-2"/>
    <x v="2"/>
    <x v="0"/>
    <n v="12"/>
    <n v="6"/>
    <n v="72"/>
    <n v="0"/>
    <s v="no discount"/>
    <n v="0"/>
    <n v="72"/>
  </r>
  <r>
    <n v="104"/>
    <x v="41"/>
    <x v="41"/>
    <n v="6464"/>
    <s v="Hamal M. Azzi"/>
    <n v="22708"/>
    <x v="63"/>
    <x v="9"/>
    <x v="0"/>
    <x v="0"/>
    <s v="JJ-1"/>
    <x v="4"/>
    <x v="0"/>
    <n v="7.5"/>
    <n v="5"/>
    <n v="37.5"/>
    <n v="2"/>
    <s v="B"/>
    <n v="0.06"/>
    <n v="35.25"/>
  </r>
  <r>
    <n v="105"/>
    <x v="41"/>
    <x v="41"/>
    <n v="6357"/>
    <s v="Johnny Bear"/>
    <n v="17972"/>
    <x v="83"/>
    <x v="8"/>
    <x v="2"/>
    <x v="0"/>
    <s v="OS-3"/>
    <x v="0"/>
    <x v="0"/>
    <n v="5.95"/>
    <n v="9"/>
    <n v="53.550000000000004"/>
    <n v="4"/>
    <s v="D"/>
    <n v="0.1"/>
    <n v="48.195000000000007"/>
  </r>
  <r>
    <n v="106"/>
    <x v="41"/>
    <x v="41"/>
    <n v="5418"/>
    <s v="Isabell Couture"/>
    <n v="10523"/>
    <x v="84"/>
    <x v="1"/>
    <x v="0"/>
    <x v="0"/>
    <s v="H-2"/>
    <x v="6"/>
    <x v="0"/>
    <n v="9.5"/>
    <n v="2"/>
    <n v="19"/>
    <n v="1"/>
    <s v="A"/>
    <n v="0.05"/>
    <n v="18.05"/>
  </r>
  <r>
    <n v="107"/>
    <x v="41"/>
    <x v="41"/>
    <n v="6678"/>
    <s v="Amalia A. Ribeiro"/>
    <n v="15353"/>
    <x v="9"/>
    <x v="1"/>
    <x v="0"/>
    <x v="0"/>
    <s v="H-3"/>
    <x v="7"/>
    <x v="0"/>
    <n v="10"/>
    <n v="4"/>
    <n v="40"/>
    <n v="4"/>
    <s v="D"/>
    <n v="0.1"/>
    <n v="36"/>
  </r>
  <r>
    <n v="108"/>
    <x v="42"/>
    <x v="42"/>
    <n v="8064"/>
    <s v="Amal Salazar"/>
    <n v="21702"/>
    <x v="85"/>
    <x v="8"/>
    <x v="2"/>
    <x v="0"/>
    <s v="JJ-2"/>
    <x v="9"/>
    <x v="0"/>
    <n v="7.5"/>
    <n v="7"/>
    <n v="52.5"/>
    <n v="0"/>
    <s v="no discount"/>
    <n v="0"/>
    <n v="52.5"/>
  </r>
  <r>
    <n v="109"/>
    <x v="42"/>
    <x v="42"/>
    <n v="5418"/>
    <s v="Isabell Couture"/>
    <n v="11124"/>
    <x v="3"/>
    <x v="3"/>
    <x v="0"/>
    <x v="0"/>
    <s v="JJ-4"/>
    <x v="1"/>
    <x v="0"/>
    <n v="8"/>
    <n v="7"/>
    <n v="56"/>
    <n v="3"/>
    <s v="C"/>
    <n v="0.08"/>
    <n v="51.519999999999996"/>
  </r>
  <r>
    <n v="110"/>
    <x v="42"/>
    <x v="42"/>
    <n v="5400"/>
    <s v="Maisha Karzai"/>
    <n v="13321"/>
    <x v="86"/>
    <x v="0"/>
    <x v="0"/>
    <x v="0"/>
    <s v="JJ-3"/>
    <x v="3"/>
    <x v="0"/>
    <n v="7.5"/>
    <n v="5"/>
    <n v="37.5"/>
    <n v="2"/>
    <s v="B"/>
    <n v="0.06"/>
    <n v="35.25"/>
  </r>
  <r>
    <n v="111"/>
    <x v="42"/>
    <x v="42"/>
    <n v="8064"/>
    <s v="Amal Salazar"/>
    <n v="23827"/>
    <x v="87"/>
    <x v="11"/>
    <x v="0"/>
    <x v="0"/>
    <s v="JJ-4"/>
    <x v="1"/>
    <x v="0"/>
    <n v="8"/>
    <n v="5"/>
    <n v="40"/>
    <n v="0"/>
    <s v="no discount"/>
    <n v="0"/>
    <n v="40"/>
  </r>
  <r>
    <n v="112"/>
    <x v="42"/>
    <x v="42"/>
    <n v="6892"/>
    <s v="Fahd Sleiman"/>
    <n v="25929"/>
    <x v="12"/>
    <x v="10"/>
    <x v="0"/>
    <x v="0"/>
    <s v="L-1"/>
    <x v="12"/>
    <x v="0"/>
    <n v="12"/>
    <n v="10"/>
    <n v="120"/>
    <n v="0"/>
    <s v="no discount"/>
    <n v="0"/>
    <n v="120"/>
  </r>
  <r>
    <n v="113"/>
    <x v="43"/>
    <x v="43"/>
    <n v="6678"/>
    <s v="Amalia A. Ribeiro"/>
    <n v="16741"/>
    <x v="88"/>
    <x v="4"/>
    <x v="1"/>
    <x v="0"/>
    <s v="JJ-2"/>
    <x v="9"/>
    <x v="0"/>
    <n v="7.5"/>
    <n v="2"/>
    <n v="15"/>
    <n v="3"/>
    <s v="C"/>
    <n v="0.08"/>
    <n v="13.8"/>
  </r>
  <r>
    <n v="114"/>
    <x v="43"/>
    <x v="43"/>
    <n v="6571"/>
    <s v="Iker Dominguez"/>
    <n v="21803"/>
    <x v="89"/>
    <x v="5"/>
    <x v="0"/>
    <x v="0"/>
    <s v="JJ-1"/>
    <x v="4"/>
    <x v="0"/>
    <n v="7.5"/>
    <n v="2"/>
    <n v="15"/>
    <n v="0"/>
    <s v="no discount"/>
    <n v="0"/>
    <n v="15"/>
  </r>
  <r>
    <n v="115"/>
    <x v="43"/>
    <x v="43"/>
    <n v="4350"/>
    <s v="Mukhtar Masih"/>
    <n v="20177"/>
    <x v="39"/>
    <x v="2"/>
    <x v="0"/>
    <x v="0"/>
    <s v="L-1"/>
    <x v="12"/>
    <x v="0"/>
    <n v="12"/>
    <n v="1"/>
    <n v="12"/>
    <n v="2"/>
    <s v="B"/>
    <n v="0.06"/>
    <n v="11.28"/>
  </r>
  <r>
    <n v="116"/>
    <x v="44"/>
    <x v="44"/>
    <n v="8064"/>
    <s v="Amal Salazar"/>
    <n v="24142"/>
    <x v="52"/>
    <x v="13"/>
    <x v="0"/>
    <x v="0"/>
    <s v="OS-3"/>
    <x v="0"/>
    <x v="0"/>
    <n v="5.95"/>
    <n v="8"/>
    <n v="47.6"/>
    <n v="2"/>
    <s v="B"/>
    <n v="0.06"/>
    <n v="44.744"/>
  </r>
  <r>
    <n v="117"/>
    <x v="44"/>
    <x v="44"/>
    <n v="6143"/>
    <s v="Liane A. Cormier"/>
    <n v="10550"/>
    <x v="90"/>
    <x v="17"/>
    <x v="0"/>
    <x v="0"/>
    <s v="JJ-4"/>
    <x v="1"/>
    <x v="0"/>
    <n v="8"/>
    <n v="3"/>
    <n v="24"/>
    <n v="2"/>
    <s v="B"/>
    <n v="0.06"/>
    <n v="22.56"/>
  </r>
  <r>
    <n v="118"/>
    <x v="45"/>
    <x v="45"/>
    <n v="6464"/>
    <s v="Hamal M. Azzi"/>
    <n v="10828"/>
    <x v="91"/>
    <x v="5"/>
    <x v="0"/>
    <x v="0"/>
    <s v="JJ-2"/>
    <x v="9"/>
    <x v="0"/>
    <n v="7.5"/>
    <n v="8"/>
    <n v="60"/>
    <n v="3"/>
    <s v="C"/>
    <n v="0.08"/>
    <n v="55.2"/>
  </r>
  <r>
    <n v="119"/>
    <x v="45"/>
    <x v="45"/>
    <n v="8064"/>
    <s v="Amal Salazar"/>
    <n v="10734"/>
    <x v="92"/>
    <x v="8"/>
    <x v="2"/>
    <x v="0"/>
    <s v="H-2"/>
    <x v="6"/>
    <x v="0"/>
    <n v="9.5"/>
    <n v="7"/>
    <n v="66.5"/>
    <n v="2"/>
    <s v="B"/>
    <n v="0.06"/>
    <n v="62.51"/>
  </r>
  <r>
    <n v="120"/>
    <x v="45"/>
    <x v="45"/>
    <n v="4350"/>
    <s v="Mukhtar Masih"/>
    <n v="26512"/>
    <x v="93"/>
    <x v="2"/>
    <x v="0"/>
    <x v="0"/>
    <s v="JJ-1"/>
    <x v="4"/>
    <x v="0"/>
    <n v="7.5"/>
    <n v="1"/>
    <n v="7.5"/>
    <n v="5"/>
    <s v="E"/>
    <n v="0.15"/>
    <n v="6.375"/>
  </r>
  <r>
    <n v="121"/>
    <x v="46"/>
    <x v="46"/>
    <n v="5400"/>
    <s v="Maisha Karzai"/>
    <n v="18195"/>
    <x v="94"/>
    <x v="6"/>
    <x v="0"/>
    <x v="0"/>
    <s v="OS-1"/>
    <x v="8"/>
    <x v="0"/>
    <n v="5.95"/>
    <n v="2"/>
    <n v="11.9"/>
    <n v="1"/>
    <s v="A"/>
    <n v="0.05"/>
    <n v="11.305"/>
  </r>
  <r>
    <n v="122"/>
    <x v="47"/>
    <x v="47"/>
    <n v="6678"/>
    <s v="Amalia A. Ribeiro"/>
    <n v="23531"/>
    <x v="95"/>
    <x v="5"/>
    <x v="0"/>
    <x v="0"/>
    <s v="OS-3"/>
    <x v="0"/>
    <x v="0"/>
    <n v="5.95"/>
    <n v="1"/>
    <n v="5.95"/>
    <n v="3"/>
    <s v="C"/>
    <n v="0.08"/>
    <n v="5.4740000000000002"/>
  </r>
  <r>
    <n v="123"/>
    <x v="47"/>
    <x v="47"/>
    <n v="6678"/>
    <s v="Amalia A. Ribeiro"/>
    <n v="19112"/>
    <x v="72"/>
    <x v="0"/>
    <x v="0"/>
    <x v="0"/>
    <s v="H-1"/>
    <x v="7"/>
    <x v="0"/>
    <n v="10"/>
    <n v="7"/>
    <n v="70"/>
    <n v="0"/>
    <s v="no discount"/>
    <n v="0"/>
    <n v="70"/>
  </r>
  <r>
    <n v="124"/>
    <x v="47"/>
    <x v="47"/>
    <n v="6143"/>
    <s v="Liane A. Cormier"/>
    <n v="21321"/>
    <x v="96"/>
    <x v="11"/>
    <x v="0"/>
    <x v="0"/>
    <s v="H-3"/>
    <x v="7"/>
    <x v="0"/>
    <n v="10"/>
    <n v="1"/>
    <n v="10"/>
    <n v="5"/>
    <s v="E"/>
    <n v="0.15"/>
    <n v="8.5"/>
  </r>
  <r>
    <n v="125"/>
    <x v="47"/>
    <x v="47"/>
    <n v="6678"/>
    <s v="Amalia A. Ribeiro"/>
    <n v="20051"/>
    <x v="31"/>
    <x v="14"/>
    <x v="0"/>
    <x v="0"/>
    <s v="L-3"/>
    <x v="11"/>
    <x v="0"/>
    <n v="12"/>
    <n v="2"/>
    <n v="24"/>
    <n v="1"/>
    <s v="A"/>
    <n v="0.05"/>
    <n v="22.8"/>
  </r>
  <r>
    <n v="126"/>
    <x v="47"/>
    <x v="47"/>
    <n v="5454"/>
    <s v="Anna Cunha"/>
    <n v="25772"/>
    <x v="97"/>
    <x v="15"/>
    <x v="0"/>
    <x v="0"/>
    <s v="L-3"/>
    <x v="11"/>
    <x v="0"/>
    <n v="12"/>
    <n v="5"/>
    <n v="60"/>
    <n v="2"/>
    <s v="B"/>
    <n v="0.06"/>
    <n v="56.4"/>
  </r>
  <r>
    <n v="127"/>
    <x v="47"/>
    <x v="47"/>
    <n v="8064"/>
    <s v="Amal Salazar"/>
    <n v="17610"/>
    <x v="98"/>
    <x v="2"/>
    <x v="0"/>
    <x v="0"/>
    <s v="L-3"/>
    <x v="11"/>
    <x v="0"/>
    <n v="12"/>
    <n v="10"/>
    <n v="120"/>
    <n v="0"/>
    <s v="no discount"/>
    <n v="0"/>
    <n v="120"/>
  </r>
  <r>
    <n v="128"/>
    <x v="48"/>
    <x v="48"/>
    <n v="1384"/>
    <s v="Igor Almeida"/>
    <n v="14342"/>
    <x v="99"/>
    <x v="12"/>
    <x v="0"/>
    <x v="0"/>
    <s v="JJ-2"/>
    <x v="9"/>
    <x v="0"/>
    <n v="7.5"/>
    <n v="4"/>
    <n v="30"/>
    <n v="0"/>
    <s v="no discount"/>
    <n v="0"/>
    <n v="30"/>
  </r>
  <r>
    <n v="129"/>
    <x v="48"/>
    <x v="48"/>
    <n v="6143"/>
    <s v="Liane A. Cormier"/>
    <n v="22912"/>
    <x v="100"/>
    <x v="16"/>
    <x v="0"/>
    <x v="0"/>
    <s v="H-3"/>
    <x v="7"/>
    <x v="0"/>
    <n v="10"/>
    <n v="6"/>
    <n v="60"/>
    <n v="4"/>
    <s v="D"/>
    <n v="0.1"/>
    <n v="54"/>
  </r>
  <r>
    <n v="130"/>
    <x v="48"/>
    <x v="48"/>
    <n v="6678"/>
    <s v="Amalia A. Ribeiro"/>
    <n v="10793"/>
    <x v="101"/>
    <x v="9"/>
    <x v="0"/>
    <x v="0"/>
    <s v="H-1"/>
    <x v="5"/>
    <x v="0"/>
    <n v="9"/>
    <n v="2"/>
    <n v="18"/>
    <n v="1"/>
    <s v="A"/>
    <n v="0.05"/>
    <n v="17.100000000000001"/>
  </r>
  <r>
    <n v="131"/>
    <x v="49"/>
    <x v="49"/>
    <n v="5400"/>
    <s v="Maisha Karzai"/>
    <n v="25329"/>
    <x v="102"/>
    <x v="14"/>
    <x v="0"/>
    <x v="0"/>
    <s v="JJ-4"/>
    <x v="1"/>
    <x v="0"/>
    <n v="8"/>
    <n v="10"/>
    <n v="80"/>
    <n v="1"/>
    <s v="A"/>
    <n v="0.05"/>
    <n v="76"/>
  </r>
  <r>
    <n v="132"/>
    <x v="50"/>
    <x v="50"/>
    <n v="6143"/>
    <s v="Liane A. Cormier"/>
    <n v="20051"/>
    <x v="31"/>
    <x v="14"/>
    <x v="0"/>
    <x v="0"/>
    <s v="L-2"/>
    <x v="2"/>
    <x v="0"/>
    <n v="12"/>
    <n v="1"/>
    <n v="12"/>
    <n v="3"/>
    <s v="C"/>
    <n v="0.08"/>
    <n v="11.04"/>
  </r>
  <r>
    <n v="133"/>
    <x v="50"/>
    <x v="50"/>
    <n v="6678"/>
    <s v="Amalia A. Ribeiro"/>
    <n v="28317"/>
    <x v="103"/>
    <x v="6"/>
    <x v="0"/>
    <x v="0"/>
    <s v="H-1"/>
    <x v="5"/>
    <x v="0"/>
    <n v="9"/>
    <n v="5"/>
    <n v="45"/>
    <n v="4"/>
    <s v="D"/>
    <n v="0.1"/>
    <n v="40.5"/>
  </r>
  <r>
    <n v="134"/>
    <x v="50"/>
    <x v="50"/>
    <n v="5346"/>
    <s v="Sergio Galvez"/>
    <n v="22015"/>
    <x v="44"/>
    <x v="8"/>
    <x v="2"/>
    <x v="0"/>
    <s v="OS-2"/>
    <x v="10"/>
    <x v="0"/>
    <n v="5.95"/>
    <n v="5"/>
    <n v="29.75"/>
    <n v="0"/>
    <s v="no discount"/>
    <n v="0"/>
    <n v="29.75"/>
  </r>
  <r>
    <n v="135"/>
    <x v="51"/>
    <x v="51"/>
    <n v="8064"/>
    <s v="Amal Salazar"/>
    <n v="18962"/>
    <x v="104"/>
    <x v="6"/>
    <x v="0"/>
    <x v="0"/>
    <s v="JJ-1"/>
    <x v="4"/>
    <x v="0"/>
    <n v="7.5"/>
    <n v="8"/>
    <n v="60"/>
    <n v="4"/>
    <s v="D"/>
    <n v="0.1"/>
    <n v="54"/>
  </r>
  <r>
    <n v="136"/>
    <x v="51"/>
    <x v="51"/>
    <n v="1384"/>
    <s v="Igor Almeida"/>
    <n v="21339"/>
    <x v="19"/>
    <x v="2"/>
    <x v="0"/>
    <x v="0"/>
    <s v="L-3"/>
    <x v="11"/>
    <x v="0"/>
    <n v="12"/>
    <n v="8"/>
    <n v="96"/>
    <n v="5"/>
    <s v="E"/>
    <n v="0.15"/>
    <n v="81.599999999999994"/>
  </r>
  <r>
    <n v="137"/>
    <x v="52"/>
    <x v="52"/>
    <n v="6892"/>
    <s v="Fahd Sleiman"/>
    <n v="16953"/>
    <x v="105"/>
    <x v="2"/>
    <x v="0"/>
    <x v="0"/>
    <s v="L-2"/>
    <x v="2"/>
    <x v="0"/>
    <n v="12"/>
    <n v="6"/>
    <n v="72"/>
    <n v="4"/>
    <s v="D"/>
    <n v="0.1"/>
    <n v="64.8"/>
  </r>
  <r>
    <n v="138"/>
    <x v="52"/>
    <x v="52"/>
    <n v="8064"/>
    <s v="Amal Salazar"/>
    <n v="22912"/>
    <x v="100"/>
    <x v="16"/>
    <x v="0"/>
    <x v="0"/>
    <s v="JJ-1"/>
    <x v="4"/>
    <x v="0"/>
    <n v="7.5"/>
    <n v="7"/>
    <n v="52.5"/>
    <n v="3"/>
    <s v="C"/>
    <n v="0.08"/>
    <n v="48.3"/>
  </r>
  <r>
    <n v="139"/>
    <x v="53"/>
    <x v="53"/>
    <n v="6143"/>
    <s v="Liane A. Cormier"/>
    <n v="22829"/>
    <x v="106"/>
    <x v="1"/>
    <x v="0"/>
    <x v="0"/>
    <s v="JJ-1"/>
    <x v="4"/>
    <x v="0"/>
    <n v="7.5"/>
    <n v="4"/>
    <n v="30"/>
    <n v="2"/>
    <s v="B"/>
    <n v="0.06"/>
    <n v="28.2"/>
  </r>
  <r>
    <n v="140"/>
    <x v="54"/>
    <x v="54"/>
    <n v="6464"/>
    <s v="Hamal M. Azzi"/>
    <n v="15464"/>
    <x v="80"/>
    <x v="17"/>
    <x v="0"/>
    <x v="0"/>
    <s v="L-1"/>
    <x v="12"/>
    <x v="0"/>
    <n v="12"/>
    <n v="3"/>
    <n v="36"/>
    <n v="2"/>
    <s v="B"/>
    <n v="0.06"/>
    <n v="33.840000000000003"/>
  </r>
  <r>
    <n v="141"/>
    <x v="54"/>
    <x v="54"/>
    <n v="5346"/>
    <s v="Sergio Galvez"/>
    <n v="23455"/>
    <x v="55"/>
    <x v="4"/>
    <x v="1"/>
    <x v="0"/>
    <s v="OS-2"/>
    <x v="10"/>
    <x v="0"/>
    <n v="5.95"/>
    <n v="1"/>
    <n v="5.95"/>
    <n v="4"/>
    <s v="D"/>
    <n v="0.1"/>
    <n v="5.3550000000000004"/>
  </r>
  <r>
    <n v="142"/>
    <x v="54"/>
    <x v="54"/>
    <n v="5400"/>
    <s v="Maisha Karzai"/>
    <n v="17376"/>
    <x v="107"/>
    <x v="2"/>
    <x v="0"/>
    <x v="0"/>
    <s v="H-3"/>
    <x v="7"/>
    <x v="0"/>
    <n v="10"/>
    <n v="3"/>
    <n v="30"/>
    <n v="0"/>
    <s v="no discount"/>
    <n v="0"/>
    <n v="30"/>
  </r>
  <r>
    <n v="143"/>
    <x v="54"/>
    <x v="54"/>
    <n v="6143"/>
    <s v="Liane A. Cormier"/>
    <n v="21104"/>
    <x v="62"/>
    <x v="6"/>
    <x v="0"/>
    <x v="0"/>
    <s v="H-3"/>
    <x v="7"/>
    <x v="0"/>
    <n v="10"/>
    <n v="2"/>
    <n v="20"/>
    <n v="1"/>
    <s v="A"/>
    <n v="0.05"/>
    <n v="19"/>
  </r>
  <r>
    <n v="144"/>
    <x v="55"/>
    <x v="55"/>
    <n v="5418"/>
    <s v="Isabell Couture"/>
    <n v="27850"/>
    <x v="108"/>
    <x v="1"/>
    <x v="0"/>
    <x v="0"/>
    <s v="OS-1"/>
    <x v="8"/>
    <x v="0"/>
    <n v="5.95"/>
    <n v="3"/>
    <n v="17.850000000000001"/>
    <n v="4"/>
    <s v="D"/>
    <n v="0.1"/>
    <n v="16.065000000000001"/>
  </r>
  <r>
    <n v="145"/>
    <x v="56"/>
    <x v="56"/>
    <n v="6143"/>
    <s v="Liane A. Cormier"/>
    <n v="21959"/>
    <x v="28"/>
    <x v="13"/>
    <x v="0"/>
    <x v="0"/>
    <s v="H-3"/>
    <x v="7"/>
    <x v="0"/>
    <n v="10"/>
    <n v="8"/>
    <n v="80"/>
    <n v="1"/>
    <s v="A"/>
    <n v="0.05"/>
    <n v="76"/>
  </r>
  <r>
    <n v="146"/>
    <x v="57"/>
    <x v="57"/>
    <n v="5346"/>
    <s v="Sergio Galvez"/>
    <n v="27995"/>
    <x v="40"/>
    <x v="3"/>
    <x v="0"/>
    <x v="0"/>
    <s v="L-3"/>
    <x v="11"/>
    <x v="0"/>
    <n v="12"/>
    <n v="3"/>
    <n v="36"/>
    <n v="4"/>
    <s v="D"/>
    <n v="0.1"/>
    <n v="32.4"/>
  </r>
  <r>
    <n v="147"/>
    <x v="57"/>
    <x v="57"/>
    <n v="8064"/>
    <s v="Amal Salazar"/>
    <n v="22094"/>
    <x v="18"/>
    <x v="6"/>
    <x v="0"/>
    <x v="0"/>
    <s v="OS-3"/>
    <x v="0"/>
    <x v="0"/>
    <n v="5.95"/>
    <n v="4"/>
    <n v="23.8"/>
    <n v="4"/>
    <s v="D"/>
    <n v="0.1"/>
    <n v="21.42"/>
  </r>
  <r>
    <n v="148"/>
    <x v="57"/>
    <x v="57"/>
    <n v="6571"/>
    <s v="Iker Dominguez"/>
    <n v="26350"/>
    <x v="109"/>
    <x v="12"/>
    <x v="0"/>
    <x v="0"/>
    <s v="JJ-1"/>
    <x v="4"/>
    <x v="0"/>
    <n v="7.5"/>
    <n v="3"/>
    <n v="22.5"/>
    <n v="0"/>
    <s v="no discount"/>
    <n v="0"/>
    <n v="22.5"/>
  </r>
  <r>
    <n v="149"/>
    <x v="58"/>
    <x v="58"/>
    <n v="6892"/>
    <s v="Fahd Sleiman"/>
    <n v="15868"/>
    <x v="110"/>
    <x v="13"/>
    <x v="0"/>
    <x v="0"/>
    <s v="H-3"/>
    <x v="7"/>
    <x v="0"/>
    <n v="10"/>
    <n v="8"/>
    <n v="80"/>
    <n v="4"/>
    <s v="D"/>
    <n v="0.1"/>
    <n v="72"/>
  </r>
  <r>
    <n v="150"/>
    <x v="58"/>
    <x v="58"/>
    <n v="6143"/>
    <s v="Liane A. Cormier"/>
    <n v="14342"/>
    <x v="99"/>
    <x v="12"/>
    <x v="0"/>
    <x v="0"/>
    <s v="JJ-3"/>
    <x v="3"/>
    <x v="0"/>
    <n v="7.5"/>
    <n v="8"/>
    <n v="60"/>
    <n v="2"/>
    <s v="B"/>
    <n v="0.06"/>
    <n v="56.4"/>
  </r>
  <r>
    <n v="151"/>
    <x v="58"/>
    <x v="58"/>
    <n v="4350"/>
    <s v="Mukhtar Masih"/>
    <n v="17696"/>
    <x v="111"/>
    <x v="5"/>
    <x v="0"/>
    <x v="0"/>
    <s v="JJ-2"/>
    <x v="9"/>
    <x v="0"/>
    <n v="7.5"/>
    <n v="2"/>
    <n v="15"/>
    <n v="4"/>
    <s v="D"/>
    <n v="0.1"/>
    <n v="13.5"/>
  </r>
  <r>
    <n v="152"/>
    <x v="59"/>
    <x v="59"/>
    <n v="6143"/>
    <s v="Liane A. Cormier"/>
    <n v="17252"/>
    <x v="58"/>
    <x v="11"/>
    <x v="0"/>
    <x v="0"/>
    <s v="H-2"/>
    <x v="6"/>
    <x v="0"/>
    <n v="9.5"/>
    <n v="2"/>
    <n v="19"/>
    <n v="0"/>
    <s v="no discount"/>
    <n v="0"/>
    <n v="19"/>
  </r>
  <r>
    <n v="153"/>
    <x v="60"/>
    <x v="60"/>
    <n v="5400"/>
    <s v="Maisha Karzai"/>
    <n v="21339"/>
    <x v="19"/>
    <x v="2"/>
    <x v="0"/>
    <x v="0"/>
    <s v="L-1"/>
    <x v="12"/>
    <x v="0"/>
    <n v="12"/>
    <n v="9"/>
    <n v="108"/>
    <n v="5"/>
    <s v="E"/>
    <n v="0.15"/>
    <n v="91.8"/>
  </r>
  <r>
    <n v="154"/>
    <x v="60"/>
    <x v="60"/>
    <n v="6678"/>
    <s v="Amalia A. Ribeiro"/>
    <n v="11959"/>
    <x v="112"/>
    <x v="16"/>
    <x v="0"/>
    <x v="0"/>
    <s v="OS-3"/>
    <x v="0"/>
    <x v="0"/>
    <n v="5.95"/>
    <n v="6"/>
    <n v="35.700000000000003"/>
    <n v="5"/>
    <s v="E"/>
    <n v="0.15"/>
    <n v="30.345000000000002"/>
  </r>
  <r>
    <n v="155"/>
    <x v="60"/>
    <x v="60"/>
    <n v="6678"/>
    <s v="Amalia A. Ribeiro"/>
    <n v="24302"/>
    <x v="113"/>
    <x v="3"/>
    <x v="0"/>
    <x v="0"/>
    <s v="OS-2"/>
    <x v="10"/>
    <x v="0"/>
    <n v="5.95"/>
    <n v="8"/>
    <n v="47.6"/>
    <n v="0"/>
    <s v="no discount"/>
    <n v="0"/>
    <n v="47.6"/>
  </r>
  <r>
    <n v="156"/>
    <x v="61"/>
    <x v="61"/>
    <n v="6892"/>
    <s v="Fahd Sleiman"/>
    <n v="17640"/>
    <x v="114"/>
    <x v="10"/>
    <x v="0"/>
    <x v="0"/>
    <s v="OS-2"/>
    <x v="10"/>
    <x v="0"/>
    <n v="5.95"/>
    <n v="9"/>
    <n v="53.550000000000004"/>
    <n v="1"/>
    <s v="A"/>
    <n v="0.05"/>
    <n v="50.872500000000002"/>
  </r>
  <r>
    <n v="157"/>
    <x v="61"/>
    <x v="61"/>
    <n v="6678"/>
    <s v="Amalia A. Ribeiro"/>
    <n v="15256"/>
    <x v="15"/>
    <x v="6"/>
    <x v="0"/>
    <x v="0"/>
    <s v="L-1"/>
    <x v="12"/>
    <x v="0"/>
    <n v="12"/>
    <n v="6"/>
    <n v="72"/>
    <n v="2"/>
    <s v="B"/>
    <n v="0.06"/>
    <n v="67.680000000000007"/>
  </r>
  <r>
    <n v="158"/>
    <x v="61"/>
    <x v="61"/>
    <n v="6464"/>
    <s v="Hamal M. Azzi"/>
    <n v="21293"/>
    <x v="48"/>
    <x v="14"/>
    <x v="0"/>
    <x v="0"/>
    <s v="L-3"/>
    <x v="11"/>
    <x v="0"/>
    <n v="12"/>
    <n v="6"/>
    <n v="72"/>
    <n v="3"/>
    <s v="C"/>
    <n v="0.08"/>
    <n v="66.239999999999995"/>
  </r>
  <r>
    <n v="159"/>
    <x v="61"/>
    <x v="61"/>
    <n v="8064"/>
    <s v="Amal Salazar"/>
    <n v="16595"/>
    <x v="115"/>
    <x v="6"/>
    <x v="0"/>
    <x v="0"/>
    <s v="OS-2"/>
    <x v="10"/>
    <x v="0"/>
    <n v="5.95"/>
    <n v="10"/>
    <n v="59.5"/>
    <n v="4"/>
    <s v="D"/>
    <n v="0.1"/>
    <n v="53.55"/>
  </r>
  <r>
    <n v="160"/>
    <x v="61"/>
    <x v="61"/>
    <n v="6678"/>
    <s v="Amalia A. Ribeiro"/>
    <n v="26500"/>
    <x v="25"/>
    <x v="12"/>
    <x v="0"/>
    <x v="0"/>
    <s v="OS-1"/>
    <x v="8"/>
    <x v="0"/>
    <n v="5.95"/>
    <n v="8"/>
    <n v="47.6"/>
    <n v="1"/>
    <s v="A"/>
    <n v="0.05"/>
    <n v="45.22"/>
  </r>
  <r>
    <n v="161"/>
    <x v="61"/>
    <x v="61"/>
    <n v="6357"/>
    <s v="Johnny Bear"/>
    <n v="24537"/>
    <x v="116"/>
    <x v="10"/>
    <x v="0"/>
    <x v="0"/>
    <s v="JJ-3"/>
    <x v="3"/>
    <x v="0"/>
    <n v="7.5"/>
    <n v="10"/>
    <n v="75"/>
    <n v="4"/>
    <s v="D"/>
    <n v="0.1"/>
    <n v="67.5"/>
  </r>
  <r>
    <n v="162"/>
    <x v="62"/>
    <x v="62"/>
    <n v="6250"/>
    <s v="Hu Lin"/>
    <n v="23687"/>
    <x v="117"/>
    <x v="11"/>
    <x v="0"/>
    <x v="0"/>
    <s v="OS-2"/>
    <x v="10"/>
    <x v="0"/>
    <n v="5.95"/>
    <n v="9"/>
    <n v="53.550000000000004"/>
    <n v="5"/>
    <s v="E"/>
    <n v="0.15"/>
    <n v="45.517500000000005"/>
  </r>
  <r>
    <n v="163"/>
    <x v="62"/>
    <x v="62"/>
    <n v="5418"/>
    <s v="Isabell Couture"/>
    <n v="20832"/>
    <x v="118"/>
    <x v="9"/>
    <x v="0"/>
    <x v="0"/>
    <s v="OS-1"/>
    <x v="8"/>
    <x v="0"/>
    <n v="5.95"/>
    <n v="5"/>
    <n v="29.75"/>
    <n v="2"/>
    <s v="B"/>
    <n v="0.06"/>
    <n v="27.965"/>
  </r>
  <r>
    <n v="164"/>
    <x v="63"/>
    <x v="63"/>
    <n v="6357"/>
    <s v="Johnny Bear"/>
    <n v="13122"/>
    <x v="119"/>
    <x v="17"/>
    <x v="0"/>
    <x v="0"/>
    <s v="JJ-4"/>
    <x v="1"/>
    <x v="0"/>
    <n v="8"/>
    <n v="3"/>
    <n v="24"/>
    <n v="1"/>
    <s v="A"/>
    <n v="0.05"/>
    <n v="22.8"/>
  </r>
  <r>
    <n v="165"/>
    <x v="63"/>
    <x v="63"/>
    <n v="4350"/>
    <s v="Mukhtar Masih"/>
    <n v="20912"/>
    <x v="76"/>
    <x v="13"/>
    <x v="0"/>
    <x v="0"/>
    <s v="H-1"/>
    <x v="5"/>
    <x v="0"/>
    <n v="9"/>
    <n v="8"/>
    <n v="72"/>
    <n v="5"/>
    <s v="E"/>
    <n v="0.15"/>
    <n v="61.2"/>
  </r>
  <r>
    <n v="166"/>
    <x v="63"/>
    <x v="63"/>
    <n v="8064"/>
    <s v="Amal Salazar"/>
    <n v="18345"/>
    <x v="120"/>
    <x v="0"/>
    <x v="0"/>
    <x v="0"/>
    <s v="JJ-3"/>
    <x v="3"/>
    <x v="0"/>
    <n v="7.5"/>
    <n v="5"/>
    <n v="37.5"/>
    <n v="0"/>
    <s v="no discount"/>
    <n v="0"/>
    <n v="37.5"/>
  </r>
  <r>
    <n v="167"/>
    <x v="63"/>
    <x v="63"/>
    <n v="6464"/>
    <s v="Hamal M. Azzi"/>
    <n v="22749"/>
    <x v="121"/>
    <x v="8"/>
    <x v="2"/>
    <x v="0"/>
    <s v="H-3"/>
    <x v="7"/>
    <x v="0"/>
    <n v="10"/>
    <n v="7"/>
    <n v="70"/>
    <n v="0"/>
    <s v="no discount"/>
    <n v="0"/>
    <n v="70"/>
  </r>
  <r>
    <n v="168"/>
    <x v="63"/>
    <x v="63"/>
    <n v="8064"/>
    <s v="Amal Salazar"/>
    <n v="20051"/>
    <x v="31"/>
    <x v="14"/>
    <x v="0"/>
    <x v="0"/>
    <s v="OS-2"/>
    <x v="10"/>
    <x v="0"/>
    <n v="5.95"/>
    <n v="4"/>
    <n v="23.8"/>
    <n v="0"/>
    <s v="no discount"/>
    <n v="0"/>
    <n v="23.8"/>
  </r>
  <r>
    <n v="169"/>
    <x v="64"/>
    <x v="64"/>
    <n v="6678"/>
    <s v="Amalia A. Ribeiro"/>
    <n v="26018"/>
    <x v="122"/>
    <x v="9"/>
    <x v="0"/>
    <x v="0"/>
    <s v="L-1"/>
    <x v="12"/>
    <x v="0"/>
    <n v="12"/>
    <n v="8"/>
    <n v="96"/>
    <n v="3"/>
    <s v="C"/>
    <n v="0.08"/>
    <n v="88.32"/>
  </r>
  <r>
    <n v="170"/>
    <x v="64"/>
    <x v="64"/>
    <n v="6892"/>
    <s v="Fahd Sleiman"/>
    <n v="25764"/>
    <x v="75"/>
    <x v="12"/>
    <x v="0"/>
    <x v="0"/>
    <s v="OS-1"/>
    <x v="8"/>
    <x v="0"/>
    <n v="5.95"/>
    <n v="2"/>
    <n v="11.9"/>
    <n v="5"/>
    <s v="E"/>
    <n v="0.15"/>
    <n v="10.115"/>
  </r>
  <r>
    <n v="171"/>
    <x v="64"/>
    <x v="64"/>
    <n v="8064"/>
    <s v="Amal Salazar"/>
    <n v="18982"/>
    <x v="70"/>
    <x v="16"/>
    <x v="0"/>
    <x v="0"/>
    <s v="JJ-2"/>
    <x v="9"/>
    <x v="0"/>
    <n v="7.5"/>
    <n v="1"/>
    <n v="7.5"/>
    <n v="0"/>
    <s v="no discount"/>
    <n v="0"/>
    <n v="7.5"/>
  </r>
  <r>
    <n v="172"/>
    <x v="65"/>
    <x v="65"/>
    <n v="5400"/>
    <s v="Maisha Karzai"/>
    <n v="25511"/>
    <x v="77"/>
    <x v="3"/>
    <x v="0"/>
    <x v="0"/>
    <s v="H-1"/>
    <x v="5"/>
    <x v="0"/>
    <n v="9"/>
    <n v="1"/>
    <n v="9"/>
    <n v="5"/>
    <s v="E"/>
    <n v="0.15"/>
    <n v="7.65"/>
  </r>
  <r>
    <n v="173"/>
    <x v="66"/>
    <x v="66"/>
    <n v="8064"/>
    <s v="Amal Salazar"/>
    <n v="24735"/>
    <x v="123"/>
    <x v="7"/>
    <x v="2"/>
    <x v="0"/>
    <s v="OS-2"/>
    <x v="10"/>
    <x v="0"/>
    <n v="5.95"/>
    <n v="3"/>
    <n v="17.850000000000001"/>
    <n v="3"/>
    <s v="C"/>
    <n v="0.08"/>
    <n v="16.422000000000001"/>
  </r>
  <r>
    <n v="174"/>
    <x v="66"/>
    <x v="66"/>
    <n v="8064"/>
    <s v="Amal Salazar"/>
    <n v="23450"/>
    <x v="16"/>
    <x v="6"/>
    <x v="0"/>
    <x v="0"/>
    <s v="H-1"/>
    <x v="5"/>
    <x v="0"/>
    <n v="9"/>
    <n v="5"/>
    <n v="45"/>
    <n v="3"/>
    <s v="C"/>
    <n v="0.08"/>
    <n v="41.4"/>
  </r>
  <r>
    <n v="175"/>
    <x v="66"/>
    <x v="66"/>
    <n v="6678"/>
    <s v="Amalia A. Ribeiro"/>
    <n v="12856"/>
    <x v="124"/>
    <x v="0"/>
    <x v="0"/>
    <x v="0"/>
    <s v="OS-2"/>
    <x v="10"/>
    <x v="0"/>
    <n v="5.95"/>
    <n v="7"/>
    <n v="41.65"/>
    <n v="2"/>
    <s v="B"/>
    <n v="0.06"/>
    <n v="39.150999999999996"/>
  </r>
  <r>
    <n v="176"/>
    <x v="67"/>
    <x v="67"/>
    <n v="6571"/>
    <s v="Iker Dominguez"/>
    <n v="15616"/>
    <x v="125"/>
    <x v="9"/>
    <x v="0"/>
    <x v="0"/>
    <s v="JJ-3"/>
    <x v="3"/>
    <x v="0"/>
    <n v="7.5"/>
    <n v="10"/>
    <n v="75"/>
    <n v="5"/>
    <s v="E"/>
    <n v="0.15"/>
    <n v="63.75"/>
  </r>
  <r>
    <n v="177"/>
    <x v="67"/>
    <x v="67"/>
    <n v="8064"/>
    <s v="Amal Salazar"/>
    <n v="28317"/>
    <x v="103"/>
    <x v="6"/>
    <x v="0"/>
    <x v="0"/>
    <s v="H-2"/>
    <x v="6"/>
    <x v="0"/>
    <n v="9.5"/>
    <n v="3"/>
    <n v="28.5"/>
    <n v="5"/>
    <s v="E"/>
    <n v="0.15"/>
    <n v="24.225000000000001"/>
  </r>
  <r>
    <n v="178"/>
    <x v="67"/>
    <x v="67"/>
    <n v="5382"/>
    <s v="Diya Nueimat"/>
    <n v="23133"/>
    <x v="126"/>
    <x v="2"/>
    <x v="0"/>
    <x v="0"/>
    <s v="JJ-1"/>
    <x v="4"/>
    <x v="0"/>
    <n v="7.5"/>
    <n v="4"/>
    <n v="30"/>
    <n v="5"/>
    <s v="E"/>
    <n v="0.15"/>
    <n v="25.5"/>
  </r>
  <r>
    <n v="179"/>
    <x v="68"/>
    <x v="68"/>
    <n v="6143"/>
    <s v="Liane A. Cormier"/>
    <n v="22645"/>
    <x v="47"/>
    <x v="2"/>
    <x v="0"/>
    <x v="0"/>
    <s v="JJ-2"/>
    <x v="9"/>
    <x v="0"/>
    <n v="7.5"/>
    <n v="9"/>
    <n v="67.5"/>
    <n v="3"/>
    <s v="C"/>
    <n v="0.08"/>
    <n v="62.1"/>
  </r>
  <r>
    <n v="180"/>
    <x v="68"/>
    <x v="68"/>
    <n v="6678"/>
    <s v="Amalia A. Ribeiro"/>
    <n v="22883"/>
    <x v="127"/>
    <x v="10"/>
    <x v="0"/>
    <x v="0"/>
    <s v="L-1"/>
    <x v="12"/>
    <x v="0"/>
    <n v="12"/>
    <n v="9"/>
    <n v="108"/>
    <n v="0"/>
    <s v="no discount"/>
    <n v="0"/>
    <n v="108"/>
  </r>
  <r>
    <n v="181"/>
    <x v="69"/>
    <x v="69"/>
    <n v="5400"/>
    <s v="Maisha Karzai"/>
    <n v="17696"/>
    <x v="111"/>
    <x v="5"/>
    <x v="0"/>
    <x v="0"/>
    <s v="JJ-1"/>
    <x v="4"/>
    <x v="0"/>
    <n v="7.5"/>
    <n v="10"/>
    <n v="75"/>
    <n v="1"/>
    <s v="A"/>
    <n v="0.05"/>
    <n v="71.25"/>
  </r>
  <r>
    <n v="182"/>
    <x v="69"/>
    <x v="69"/>
    <n v="6357"/>
    <s v="Johnny Bear"/>
    <n v="18962"/>
    <x v="104"/>
    <x v="6"/>
    <x v="0"/>
    <x v="0"/>
    <s v="JJ-2"/>
    <x v="9"/>
    <x v="0"/>
    <n v="7.5"/>
    <n v="1"/>
    <n v="7.5"/>
    <n v="4"/>
    <s v="D"/>
    <n v="0.1"/>
    <n v="6.75"/>
  </r>
  <r>
    <n v="183"/>
    <x v="69"/>
    <x v="69"/>
    <n v="5400"/>
    <s v="Maisha Karzai"/>
    <n v="23448"/>
    <x v="128"/>
    <x v="8"/>
    <x v="2"/>
    <x v="0"/>
    <s v="JJ-3"/>
    <x v="3"/>
    <x v="0"/>
    <n v="7.5"/>
    <n v="10"/>
    <n v="75"/>
    <n v="2"/>
    <s v="B"/>
    <n v="0.06"/>
    <n v="70.5"/>
  </r>
  <r>
    <n v="184"/>
    <x v="70"/>
    <x v="70"/>
    <n v="6250"/>
    <s v="Hu Lin"/>
    <n v="26510"/>
    <x v="129"/>
    <x v="8"/>
    <x v="2"/>
    <x v="0"/>
    <s v="H-3"/>
    <x v="7"/>
    <x v="0"/>
    <n v="10"/>
    <n v="9"/>
    <n v="90"/>
    <n v="0"/>
    <s v="no discount"/>
    <n v="0"/>
    <n v="90"/>
  </r>
  <r>
    <n v="185"/>
    <x v="70"/>
    <x v="70"/>
    <n v="6892"/>
    <s v="Fahd Sleiman"/>
    <n v="17067"/>
    <x v="60"/>
    <x v="7"/>
    <x v="2"/>
    <x v="0"/>
    <s v="H-2"/>
    <x v="6"/>
    <x v="0"/>
    <n v="9.5"/>
    <n v="2"/>
    <n v="19"/>
    <n v="3"/>
    <s v="C"/>
    <n v="0.08"/>
    <n v="17.48"/>
  </r>
  <r>
    <n v="186"/>
    <x v="71"/>
    <x v="71"/>
    <n v="6464"/>
    <s v="Hamal M. Azzi"/>
    <n v="23607"/>
    <x v="130"/>
    <x v="4"/>
    <x v="1"/>
    <x v="0"/>
    <s v="L-2"/>
    <x v="2"/>
    <x v="0"/>
    <n v="12"/>
    <n v="8"/>
    <n v="96"/>
    <n v="4"/>
    <s v="D"/>
    <n v="0.1"/>
    <n v="86.4"/>
  </r>
  <r>
    <n v="187"/>
    <x v="71"/>
    <x v="71"/>
    <n v="6357"/>
    <s v="Johnny Bear"/>
    <n v="17038"/>
    <x v="33"/>
    <x v="13"/>
    <x v="0"/>
    <x v="0"/>
    <s v="L-1"/>
    <x v="12"/>
    <x v="0"/>
    <n v="12"/>
    <n v="10"/>
    <n v="120"/>
    <n v="1"/>
    <s v="A"/>
    <n v="0.05"/>
    <n v="114"/>
  </r>
  <r>
    <n v="188"/>
    <x v="71"/>
    <x v="71"/>
    <n v="6464"/>
    <s v="Hamal M. Azzi"/>
    <n v="10828"/>
    <x v="91"/>
    <x v="5"/>
    <x v="0"/>
    <x v="0"/>
    <s v="JJ-3"/>
    <x v="3"/>
    <x v="0"/>
    <n v="7.5"/>
    <n v="1"/>
    <n v="7.5"/>
    <n v="1"/>
    <s v="A"/>
    <n v="0.05"/>
    <n v="7.125"/>
  </r>
  <r>
    <n v="189"/>
    <x v="71"/>
    <x v="71"/>
    <n v="4350"/>
    <s v="Mukhtar Masih"/>
    <n v="25329"/>
    <x v="102"/>
    <x v="14"/>
    <x v="0"/>
    <x v="0"/>
    <s v="L-1"/>
    <x v="12"/>
    <x v="0"/>
    <n v="12"/>
    <n v="4"/>
    <n v="48"/>
    <n v="2"/>
    <s v="B"/>
    <n v="0.06"/>
    <n v="45.12"/>
  </r>
  <r>
    <n v="190"/>
    <x v="71"/>
    <x v="71"/>
    <n v="6892"/>
    <s v="Fahd Sleiman"/>
    <n v="23361"/>
    <x v="131"/>
    <x v="2"/>
    <x v="0"/>
    <x v="0"/>
    <s v="OS-1"/>
    <x v="8"/>
    <x v="0"/>
    <n v="5.95"/>
    <n v="4"/>
    <n v="23.8"/>
    <n v="0"/>
    <s v="no discount"/>
    <n v="0"/>
    <n v="23.8"/>
  </r>
  <r>
    <n v="191"/>
    <x v="72"/>
    <x v="72"/>
    <n v="6464"/>
    <s v="Hamal M. Azzi"/>
    <n v="10793"/>
    <x v="101"/>
    <x v="9"/>
    <x v="0"/>
    <x v="0"/>
    <s v="OS-3"/>
    <x v="0"/>
    <x v="0"/>
    <n v="5.95"/>
    <n v="3"/>
    <n v="17.850000000000001"/>
    <n v="4"/>
    <s v="D"/>
    <n v="0.1"/>
    <n v="16.065000000000001"/>
  </r>
  <r>
    <n v="192"/>
    <x v="72"/>
    <x v="72"/>
    <n v="6464"/>
    <s v="Hamal M. Azzi"/>
    <n v="25772"/>
    <x v="97"/>
    <x v="15"/>
    <x v="0"/>
    <x v="0"/>
    <s v="L-2"/>
    <x v="2"/>
    <x v="0"/>
    <n v="12"/>
    <n v="3"/>
    <n v="36"/>
    <n v="2"/>
    <s v="B"/>
    <n v="0.06"/>
    <n v="33.840000000000003"/>
  </r>
  <r>
    <n v="193"/>
    <x v="72"/>
    <x v="72"/>
    <n v="4350"/>
    <s v="Mukhtar Masih"/>
    <n v="15616"/>
    <x v="125"/>
    <x v="9"/>
    <x v="0"/>
    <x v="0"/>
    <s v="JJ-2"/>
    <x v="9"/>
    <x v="0"/>
    <n v="7.5"/>
    <n v="4"/>
    <n v="30"/>
    <n v="1"/>
    <s v="A"/>
    <n v="0.05"/>
    <n v="28.5"/>
  </r>
  <r>
    <n v="194"/>
    <x v="72"/>
    <x v="72"/>
    <n v="8064"/>
    <s v="Amal Salazar"/>
    <n v="12504"/>
    <x v="132"/>
    <x v="8"/>
    <x v="2"/>
    <x v="0"/>
    <s v="OS-3"/>
    <x v="0"/>
    <x v="0"/>
    <n v="5.95"/>
    <n v="5"/>
    <n v="29.75"/>
    <n v="0"/>
    <s v="no discount"/>
    <n v="0"/>
    <n v="29.75"/>
  </r>
  <r>
    <n v="195"/>
    <x v="72"/>
    <x v="72"/>
    <n v="6143"/>
    <s v="Liane A. Cormier"/>
    <n v="15868"/>
    <x v="110"/>
    <x v="13"/>
    <x v="0"/>
    <x v="0"/>
    <s v="JJ-2"/>
    <x v="9"/>
    <x v="0"/>
    <n v="7.5"/>
    <n v="1"/>
    <n v="7.5"/>
    <n v="1"/>
    <s v="A"/>
    <n v="0.05"/>
    <n v="7.125"/>
  </r>
  <r>
    <n v="196"/>
    <x v="73"/>
    <x v="73"/>
    <n v="6464"/>
    <s v="Hamal M. Azzi"/>
    <n v="22611"/>
    <x v="51"/>
    <x v="16"/>
    <x v="0"/>
    <x v="0"/>
    <s v="H-2"/>
    <x v="6"/>
    <x v="0"/>
    <n v="9.5"/>
    <n v="5"/>
    <n v="47.5"/>
    <n v="4"/>
    <s v="D"/>
    <n v="0.1"/>
    <n v="42.75"/>
  </r>
  <r>
    <n v="197"/>
    <x v="73"/>
    <x v="73"/>
    <n v="8064"/>
    <s v="Amal Salazar"/>
    <n v="24537"/>
    <x v="116"/>
    <x v="10"/>
    <x v="0"/>
    <x v="0"/>
    <s v="JJ-2"/>
    <x v="9"/>
    <x v="0"/>
    <n v="7.5"/>
    <n v="4"/>
    <n v="30"/>
    <n v="2"/>
    <s v="B"/>
    <n v="0.06"/>
    <n v="28.2"/>
  </r>
  <r>
    <n v="198"/>
    <x v="74"/>
    <x v="74"/>
    <n v="6678"/>
    <s v="Amalia A. Ribeiro"/>
    <n v="23827"/>
    <x v="87"/>
    <x v="11"/>
    <x v="0"/>
    <x v="0"/>
    <s v="JJ-3"/>
    <x v="3"/>
    <x v="0"/>
    <n v="7.5"/>
    <n v="9"/>
    <n v="67.5"/>
    <n v="5"/>
    <s v="E"/>
    <n v="0.15"/>
    <n v="57.375"/>
  </r>
  <r>
    <n v="199"/>
    <x v="74"/>
    <x v="74"/>
    <n v="6892"/>
    <s v="Fahd Sleiman"/>
    <n v="12971"/>
    <x v="81"/>
    <x v="14"/>
    <x v="0"/>
    <x v="0"/>
    <s v="JJ-4"/>
    <x v="1"/>
    <x v="0"/>
    <n v="8"/>
    <n v="9"/>
    <n v="72"/>
    <n v="0"/>
    <s v="no discount"/>
    <n v="0"/>
    <n v="72"/>
  </r>
  <r>
    <n v="200"/>
    <x v="75"/>
    <x v="75"/>
    <n v="6464"/>
    <s v="Hamal M. Azzi"/>
    <n v="15561"/>
    <x v="14"/>
    <x v="8"/>
    <x v="2"/>
    <x v="0"/>
    <s v="OS-1"/>
    <x v="8"/>
    <x v="0"/>
    <n v="5.95"/>
    <n v="8"/>
    <n v="47.6"/>
    <n v="4"/>
    <s v="D"/>
    <n v="0.1"/>
    <n v="42.84"/>
  </r>
  <r>
    <n v="201"/>
    <x v="75"/>
    <x v="75"/>
    <n v="6464"/>
    <s v="Hamal M. Azzi"/>
    <n v="19842"/>
    <x v="133"/>
    <x v="15"/>
    <x v="0"/>
    <x v="0"/>
    <s v="H-3"/>
    <x v="7"/>
    <x v="0"/>
    <n v="10"/>
    <n v="8"/>
    <n v="80"/>
    <n v="2"/>
    <s v="B"/>
    <n v="0.06"/>
    <n v="75.2"/>
  </r>
  <r>
    <n v="202"/>
    <x v="76"/>
    <x v="76"/>
    <n v="5382"/>
    <s v="Diya Nueimat"/>
    <n v="25940"/>
    <x v="134"/>
    <x v="12"/>
    <x v="0"/>
    <x v="0"/>
    <s v="JJ-4"/>
    <x v="1"/>
    <x v="0"/>
    <n v="8"/>
    <n v="4"/>
    <n v="32"/>
    <n v="1"/>
    <s v="A"/>
    <n v="0.05"/>
    <n v="30.4"/>
  </r>
  <r>
    <n v="203"/>
    <x v="76"/>
    <x v="76"/>
    <n v="5346"/>
    <s v="Sergio Galvez"/>
    <n v="24735"/>
    <x v="123"/>
    <x v="7"/>
    <x v="2"/>
    <x v="0"/>
    <s v="OS-3"/>
    <x v="0"/>
    <x v="0"/>
    <n v="5.95"/>
    <n v="9"/>
    <n v="53.550000000000004"/>
    <n v="1"/>
    <s v="A"/>
    <n v="0.05"/>
    <n v="50.872500000000002"/>
  </r>
  <r>
    <n v="204"/>
    <x v="76"/>
    <x v="76"/>
    <n v="5400"/>
    <s v="Maisha Karzai"/>
    <n v="16953"/>
    <x v="105"/>
    <x v="2"/>
    <x v="0"/>
    <x v="0"/>
    <s v="L-3"/>
    <x v="11"/>
    <x v="0"/>
    <n v="12"/>
    <n v="5"/>
    <n v="60"/>
    <n v="3"/>
    <s v="C"/>
    <n v="0.08"/>
    <n v="55.2"/>
  </r>
  <r>
    <n v="205"/>
    <x v="76"/>
    <x v="76"/>
    <n v="8064"/>
    <s v="Amal Salazar"/>
    <n v="17640"/>
    <x v="114"/>
    <x v="10"/>
    <x v="0"/>
    <x v="0"/>
    <s v="OS-3"/>
    <x v="0"/>
    <x v="0"/>
    <n v="5.95"/>
    <n v="8"/>
    <n v="47.6"/>
    <n v="2"/>
    <s v="B"/>
    <n v="0.06"/>
    <n v="44.744"/>
  </r>
  <r>
    <n v="206"/>
    <x v="76"/>
    <x v="76"/>
    <n v="6357"/>
    <s v="Johnny Bear"/>
    <n v="22911"/>
    <x v="50"/>
    <x v="10"/>
    <x v="0"/>
    <x v="0"/>
    <s v="OS-3"/>
    <x v="0"/>
    <x v="0"/>
    <n v="5.95"/>
    <n v="5"/>
    <n v="29.75"/>
    <n v="4"/>
    <s v="D"/>
    <n v="0.1"/>
    <n v="26.774999999999999"/>
  </r>
  <r>
    <n v="207"/>
    <x v="76"/>
    <x v="76"/>
    <n v="6571"/>
    <s v="Iker Dominguez"/>
    <n v="19737"/>
    <x v="135"/>
    <x v="15"/>
    <x v="0"/>
    <x v="0"/>
    <s v="JJ-2"/>
    <x v="9"/>
    <x v="0"/>
    <n v="7.5"/>
    <n v="9"/>
    <n v="67.5"/>
    <n v="0"/>
    <s v="no discount"/>
    <n v="0"/>
    <n v="67.5"/>
  </r>
  <r>
    <n v="208"/>
    <x v="77"/>
    <x v="77"/>
    <n v="6571"/>
    <s v="Iker Dominguez"/>
    <n v="24461"/>
    <x v="78"/>
    <x v="6"/>
    <x v="0"/>
    <x v="0"/>
    <s v="H-2"/>
    <x v="6"/>
    <x v="0"/>
    <n v="9.5"/>
    <n v="9"/>
    <n v="85.5"/>
    <n v="1"/>
    <s v="A"/>
    <n v="0.05"/>
    <n v="81.224999999999994"/>
  </r>
  <r>
    <n v="209"/>
    <x v="77"/>
    <x v="77"/>
    <n v="5400"/>
    <s v="Maisha Karzai"/>
    <n v="26512"/>
    <x v="93"/>
    <x v="2"/>
    <x v="0"/>
    <x v="0"/>
    <s v="H-3"/>
    <x v="7"/>
    <x v="0"/>
    <n v="10"/>
    <n v="1"/>
    <n v="10"/>
    <n v="0"/>
    <s v="no discount"/>
    <n v="0"/>
    <n v="10"/>
  </r>
  <r>
    <n v="210"/>
    <x v="77"/>
    <x v="77"/>
    <n v="5382"/>
    <s v="Diya Nueimat"/>
    <n v="24952"/>
    <x v="10"/>
    <x v="8"/>
    <x v="2"/>
    <x v="0"/>
    <s v="JJ-1"/>
    <x v="4"/>
    <x v="0"/>
    <n v="7.5"/>
    <n v="6"/>
    <n v="45"/>
    <n v="2"/>
    <s v="B"/>
    <n v="0.06"/>
    <n v="42.3"/>
  </r>
  <r>
    <n v="211"/>
    <x v="77"/>
    <x v="77"/>
    <n v="6143"/>
    <s v="Liane A. Cormier"/>
    <n v="13739"/>
    <x v="66"/>
    <x v="4"/>
    <x v="1"/>
    <x v="0"/>
    <s v="H-3"/>
    <x v="7"/>
    <x v="0"/>
    <n v="10"/>
    <n v="3"/>
    <n v="30"/>
    <n v="4"/>
    <s v="D"/>
    <n v="0.1"/>
    <n v="27"/>
  </r>
  <r>
    <n v="212"/>
    <x v="78"/>
    <x v="78"/>
    <n v="5346"/>
    <s v="Sergio Galvez"/>
    <n v="20832"/>
    <x v="118"/>
    <x v="9"/>
    <x v="0"/>
    <x v="0"/>
    <s v="L-3"/>
    <x v="11"/>
    <x v="0"/>
    <n v="12"/>
    <n v="10"/>
    <n v="120"/>
    <n v="1"/>
    <s v="A"/>
    <n v="0.05"/>
    <n v="114"/>
  </r>
  <r>
    <n v="213"/>
    <x v="78"/>
    <x v="78"/>
    <n v="6464"/>
    <s v="Hamal M. Azzi"/>
    <n v="25355"/>
    <x v="53"/>
    <x v="16"/>
    <x v="0"/>
    <x v="0"/>
    <s v="L-2"/>
    <x v="2"/>
    <x v="0"/>
    <n v="12"/>
    <n v="6"/>
    <n v="72"/>
    <n v="5"/>
    <s v="E"/>
    <n v="0.15"/>
    <n v="61.2"/>
  </r>
  <r>
    <n v="214"/>
    <x v="79"/>
    <x v="79"/>
    <n v="6678"/>
    <s v="Amalia A. Ribeiro"/>
    <n v="22597"/>
    <x v="136"/>
    <x v="7"/>
    <x v="2"/>
    <x v="0"/>
    <s v="JJ-4"/>
    <x v="1"/>
    <x v="0"/>
    <n v="8"/>
    <n v="3"/>
    <n v="24"/>
    <n v="4"/>
    <s v="D"/>
    <n v="0.1"/>
    <n v="21.6"/>
  </r>
  <r>
    <n v="215"/>
    <x v="79"/>
    <x v="79"/>
    <n v="6892"/>
    <s v="Fahd Sleiman"/>
    <n v="21702"/>
    <x v="85"/>
    <x v="8"/>
    <x v="2"/>
    <x v="0"/>
    <s v="JJ-3"/>
    <x v="3"/>
    <x v="0"/>
    <n v="7.5"/>
    <n v="3"/>
    <n v="22.5"/>
    <n v="1"/>
    <s v="A"/>
    <n v="0.05"/>
    <n v="21.375"/>
  </r>
  <r>
    <n v="216"/>
    <x v="79"/>
    <x v="79"/>
    <n v="6678"/>
    <s v="Amalia A. Ribeiro"/>
    <n v="21914"/>
    <x v="137"/>
    <x v="6"/>
    <x v="0"/>
    <x v="0"/>
    <s v="OS-1"/>
    <x v="8"/>
    <x v="0"/>
    <n v="5.95"/>
    <n v="2"/>
    <n v="11.9"/>
    <n v="0"/>
    <s v="no discount"/>
    <n v="0"/>
    <n v="11.9"/>
  </r>
  <r>
    <n v="217"/>
    <x v="80"/>
    <x v="80"/>
    <n v="6892"/>
    <s v="Fahd Sleiman"/>
    <n v="17441"/>
    <x v="23"/>
    <x v="6"/>
    <x v="0"/>
    <x v="0"/>
    <s v="JJ-3"/>
    <x v="3"/>
    <x v="0"/>
    <n v="7.5"/>
    <n v="3"/>
    <n v="22.5"/>
    <n v="0"/>
    <s v="no discount"/>
    <n v="0"/>
    <n v="22.5"/>
  </r>
  <r>
    <n v="218"/>
    <x v="80"/>
    <x v="80"/>
    <n v="5382"/>
    <s v="Diya Nueimat"/>
    <n v="17376"/>
    <x v="107"/>
    <x v="2"/>
    <x v="0"/>
    <x v="0"/>
    <s v="H-2"/>
    <x v="6"/>
    <x v="0"/>
    <n v="9.5"/>
    <n v="10"/>
    <n v="95"/>
    <n v="1"/>
    <s v="A"/>
    <n v="0.05"/>
    <n v="90.25"/>
  </r>
  <r>
    <n v="219"/>
    <x v="80"/>
    <x v="80"/>
    <n v="5346"/>
    <s v="Sergio Galvez"/>
    <n v="21104"/>
    <x v="62"/>
    <x v="6"/>
    <x v="0"/>
    <x v="0"/>
    <s v="H-1"/>
    <x v="5"/>
    <x v="0"/>
    <n v="9"/>
    <n v="1"/>
    <n v="9"/>
    <n v="1"/>
    <s v="A"/>
    <n v="0.05"/>
    <n v="8.5500000000000007"/>
  </r>
  <r>
    <n v="220"/>
    <x v="80"/>
    <x v="80"/>
    <n v="6678"/>
    <s v="Amalia A. Ribeiro"/>
    <n v="13321"/>
    <x v="86"/>
    <x v="0"/>
    <x v="0"/>
    <x v="0"/>
    <s v="JJ-4"/>
    <x v="1"/>
    <x v="0"/>
    <n v="8"/>
    <n v="10"/>
    <n v="80"/>
    <n v="4"/>
    <s v="D"/>
    <n v="0.1"/>
    <n v="72"/>
  </r>
  <r>
    <n v="221"/>
    <x v="81"/>
    <x v="81"/>
    <n v="5400"/>
    <s v="Maisha Karzai"/>
    <n v="26564"/>
    <x v="27"/>
    <x v="4"/>
    <x v="1"/>
    <x v="0"/>
    <s v="JJ-2"/>
    <x v="9"/>
    <x v="0"/>
    <n v="7.5"/>
    <n v="10"/>
    <n v="75"/>
    <n v="0"/>
    <s v="no discount"/>
    <n v="0"/>
    <n v="75"/>
  </r>
  <r>
    <n v="222"/>
    <x v="81"/>
    <x v="81"/>
    <n v="5400"/>
    <s v="Maisha Karzai"/>
    <n v="25940"/>
    <x v="134"/>
    <x v="12"/>
    <x v="0"/>
    <x v="0"/>
    <s v="L-1"/>
    <x v="12"/>
    <x v="0"/>
    <n v="12"/>
    <n v="1"/>
    <n v="12"/>
    <n v="0"/>
    <s v="no discount"/>
    <n v="0"/>
    <n v="12"/>
  </r>
  <r>
    <n v="223"/>
    <x v="81"/>
    <x v="81"/>
    <n v="6464"/>
    <s v="Hamal M. Azzi"/>
    <n v="11959"/>
    <x v="112"/>
    <x v="16"/>
    <x v="0"/>
    <x v="0"/>
    <s v="H-1"/>
    <x v="5"/>
    <x v="0"/>
    <n v="9"/>
    <n v="1"/>
    <n v="9"/>
    <n v="4"/>
    <s v="D"/>
    <n v="0.1"/>
    <n v="8.1"/>
  </r>
  <r>
    <n v="224"/>
    <x v="82"/>
    <x v="82"/>
    <n v="6892"/>
    <s v="Fahd Sleiman"/>
    <n v="22544"/>
    <x v="74"/>
    <x v="0"/>
    <x v="0"/>
    <x v="0"/>
    <s v="H-2"/>
    <x v="6"/>
    <x v="0"/>
    <n v="9.5"/>
    <n v="6"/>
    <n v="57"/>
    <n v="2"/>
    <s v="B"/>
    <n v="0.06"/>
    <n v="53.58"/>
  </r>
  <r>
    <n v="225"/>
    <x v="82"/>
    <x v="82"/>
    <n v="6678"/>
    <s v="Amalia A. Ribeiro"/>
    <n v="21339"/>
    <x v="19"/>
    <x v="2"/>
    <x v="0"/>
    <x v="0"/>
    <s v="OS-1"/>
    <x v="8"/>
    <x v="0"/>
    <n v="5.95"/>
    <n v="10"/>
    <n v="59.5"/>
    <n v="2"/>
    <s v="B"/>
    <n v="0.06"/>
    <n v="55.93"/>
  </r>
  <r>
    <n v="226"/>
    <x v="83"/>
    <x v="83"/>
    <n v="6143"/>
    <s v="Liane A. Cormier"/>
    <n v="15625"/>
    <x v="138"/>
    <x v="9"/>
    <x v="0"/>
    <x v="0"/>
    <s v="OS-2"/>
    <x v="10"/>
    <x v="0"/>
    <n v="5.95"/>
    <n v="7"/>
    <n v="41.65"/>
    <n v="1"/>
    <s v="A"/>
    <n v="0.05"/>
    <n v="39.567499999999995"/>
  </r>
  <r>
    <n v="227"/>
    <x v="83"/>
    <x v="83"/>
    <n v="6143"/>
    <s v="Liane A. Cormier"/>
    <n v="19842"/>
    <x v="133"/>
    <x v="15"/>
    <x v="0"/>
    <x v="0"/>
    <s v="H-2"/>
    <x v="6"/>
    <x v="0"/>
    <n v="9.5"/>
    <n v="1"/>
    <n v="9.5"/>
    <n v="5"/>
    <s v="E"/>
    <n v="0.15"/>
    <n v="8.0749999999999993"/>
  </r>
  <r>
    <n v="228"/>
    <x v="83"/>
    <x v="83"/>
    <n v="6250"/>
    <s v="Hu Lin"/>
    <n v="21914"/>
    <x v="137"/>
    <x v="6"/>
    <x v="0"/>
    <x v="0"/>
    <s v="L-3"/>
    <x v="11"/>
    <x v="0"/>
    <n v="12"/>
    <n v="10"/>
    <n v="120"/>
    <n v="2"/>
    <s v="B"/>
    <n v="0.06"/>
    <n v="112.8"/>
  </r>
  <r>
    <n v="229"/>
    <x v="83"/>
    <x v="83"/>
    <n v="6357"/>
    <s v="Johnny Bear"/>
    <n v="23133"/>
    <x v="126"/>
    <x v="2"/>
    <x v="0"/>
    <x v="0"/>
    <s v="H-3"/>
    <x v="7"/>
    <x v="0"/>
    <n v="10"/>
    <n v="7"/>
    <n v="70"/>
    <n v="4"/>
    <s v="D"/>
    <n v="0.1"/>
    <n v="63"/>
  </r>
  <r>
    <n v="230"/>
    <x v="84"/>
    <x v="84"/>
    <n v="1384"/>
    <s v="Igor Almeida"/>
    <n v="22829"/>
    <x v="106"/>
    <x v="1"/>
    <x v="0"/>
    <x v="0"/>
    <s v="H-3"/>
    <x v="7"/>
    <x v="0"/>
    <n v="10"/>
    <n v="10"/>
    <n v="100"/>
    <n v="5"/>
    <s v="E"/>
    <n v="0.15"/>
    <n v="85"/>
  </r>
  <r>
    <n v="231"/>
    <x v="84"/>
    <x v="84"/>
    <n v="6143"/>
    <s v="Liane A. Cormier"/>
    <n v="24302"/>
    <x v="113"/>
    <x v="3"/>
    <x v="0"/>
    <x v="0"/>
    <s v="OS-1"/>
    <x v="8"/>
    <x v="0"/>
    <n v="5.95"/>
    <n v="7"/>
    <n v="41.65"/>
    <n v="2"/>
    <s v="B"/>
    <n v="0.06"/>
    <n v="39.150999999999996"/>
  </r>
  <r>
    <n v="232"/>
    <x v="84"/>
    <x v="84"/>
    <n v="6571"/>
    <s v="Iker Dominguez"/>
    <n v="13122"/>
    <x v="119"/>
    <x v="17"/>
    <x v="0"/>
    <x v="0"/>
    <s v="L-1"/>
    <x v="12"/>
    <x v="0"/>
    <n v="12"/>
    <n v="9"/>
    <n v="108"/>
    <n v="4"/>
    <s v="D"/>
    <n v="0.1"/>
    <n v="97.2"/>
  </r>
  <r>
    <n v="233"/>
    <x v="84"/>
    <x v="84"/>
    <n v="1384"/>
    <s v="Igor Almeida"/>
    <n v="27850"/>
    <x v="108"/>
    <x v="1"/>
    <x v="0"/>
    <x v="0"/>
    <s v="OS-2"/>
    <x v="10"/>
    <x v="0"/>
    <n v="5.95"/>
    <n v="2"/>
    <n v="11.9"/>
    <n v="0"/>
    <s v="no discount"/>
    <n v="0"/>
    <n v="11.9"/>
  </r>
  <r>
    <n v="234"/>
    <x v="84"/>
    <x v="84"/>
    <n v="5382"/>
    <s v="Diya Nueimat"/>
    <n v="14501"/>
    <x v="139"/>
    <x v="17"/>
    <x v="0"/>
    <x v="0"/>
    <s v="OS-2"/>
    <x v="10"/>
    <x v="0"/>
    <n v="5.95"/>
    <n v="4"/>
    <n v="23.8"/>
    <n v="1"/>
    <s v="A"/>
    <n v="0.05"/>
    <n v="22.61"/>
  </r>
  <r>
    <n v="235"/>
    <x v="85"/>
    <x v="85"/>
    <n v="6892"/>
    <s v="Fahd Sleiman"/>
    <n v="23448"/>
    <x v="128"/>
    <x v="8"/>
    <x v="2"/>
    <x v="0"/>
    <s v="JJ-2"/>
    <x v="9"/>
    <x v="0"/>
    <n v="7.5"/>
    <n v="2"/>
    <n v="15"/>
    <n v="3"/>
    <s v="C"/>
    <n v="0.08"/>
    <n v="13.8"/>
  </r>
  <r>
    <n v="236"/>
    <x v="85"/>
    <x v="85"/>
    <n v="6464"/>
    <s v="Hamal M. Azzi"/>
    <n v="15353"/>
    <x v="9"/>
    <x v="1"/>
    <x v="0"/>
    <x v="0"/>
    <s v="H-1"/>
    <x v="5"/>
    <x v="0"/>
    <n v="9"/>
    <n v="4"/>
    <n v="36"/>
    <n v="1"/>
    <s v="A"/>
    <n v="0.05"/>
    <n v="34.200000000000003"/>
  </r>
  <r>
    <n v="237"/>
    <x v="85"/>
    <x v="85"/>
    <n v="6678"/>
    <s v="Amalia A. Ribeiro"/>
    <n v="23687"/>
    <x v="117"/>
    <x v="11"/>
    <x v="0"/>
    <x v="0"/>
    <s v="OS-3"/>
    <x v="0"/>
    <x v="0"/>
    <n v="5.95"/>
    <n v="9"/>
    <n v="53.550000000000004"/>
    <n v="4"/>
    <s v="D"/>
    <n v="0.1"/>
    <n v="48.195000000000007"/>
  </r>
  <r>
    <n v="238"/>
    <x v="86"/>
    <x v="86"/>
    <n v="6571"/>
    <s v="Iker Dominguez"/>
    <n v="17717"/>
    <x v="8"/>
    <x v="8"/>
    <x v="2"/>
    <x v="0"/>
    <s v="OS-3"/>
    <x v="0"/>
    <x v="0"/>
    <n v="5.95"/>
    <n v="7"/>
    <n v="41.65"/>
    <n v="5"/>
    <s v="E"/>
    <n v="0.15"/>
    <n v="35.402499999999996"/>
  </r>
  <r>
    <n v="239"/>
    <x v="87"/>
    <x v="87"/>
    <n v="5400"/>
    <s v="Maisha Karzai"/>
    <n v="16088"/>
    <x v="140"/>
    <x v="6"/>
    <x v="0"/>
    <x v="0"/>
    <s v="JJ-3"/>
    <x v="3"/>
    <x v="0"/>
    <n v="7.5"/>
    <n v="9"/>
    <n v="67.5"/>
    <n v="1"/>
    <s v="A"/>
    <n v="0.05"/>
    <n v="64.125"/>
  </r>
  <r>
    <n v="240"/>
    <x v="87"/>
    <x v="87"/>
    <n v="5346"/>
    <s v="Sergio Galvez"/>
    <n v="12504"/>
    <x v="132"/>
    <x v="8"/>
    <x v="2"/>
    <x v="0"/>
    <s v="H-1"/>
    <x v="5"/>
    <x v="0"/>
    <n v="9"/>
    <n v="7"/>
    <n v="63"/>
    <n v="2"/>
    <s v="B"/>
    <n v="0.06"/>
    <n v="59.22"/>
  </r>
  <r>
    <n v="241"/>
    <x v="88"/>
    <x v="88"/>
    <n v="8064"/>
    <s v="Amal Salazar"/>
    <n v="15868"/>
    <x v="110"/>
    <x v="13"/>
    <x v="0"/>
    <x v="0"/>
    <s v="JJ-3"/>
    <x v="3"/>
    <x v="0"/>
    <n v="7.5"/>
    <n v="9"/>
    <n v="67.5"/>
    <n v="3"/>
    <s v="C"/>
    <n v="0.08"/>
    <n v="62.1"/>
  </r>
  <r>
    <n v="242"/>
    <x v="89"/>
    <x v="89"/>
    <n v="5400"/>
    <s v="Maisha Karzai"/>
    <n v="19063"/>
    <x v="141"/>
    <x v="2"/>
    <x v="0"/>
    <x v="0"/>
    <s v="H-2"/>
    <x v="6"/>
    <x v="0"/>
    <n v="9.5"/>
    <n v="10"/>
    <n v="95"/>
    <n v="1"/>
    <s v="A"/>
    <n v="0.05"/>
    <n v="90.25"/>
  </r>
  <r>
    <n v="243"/>
    <x v="89"/>
    <x v="89"/>
    <n v="6678"/>
    <s v="Amalia A. Ribeiro"/>
    <n v="18265"/>
    <x v="65"/>
    <x v="6"/>
    <x v="0"/>
    <x v="0"/>
    <s v="OS-1"/>
    <x v="8"/>
    <x v="0"/>
    <n v="5.95"/>
    <n v="4"/>
    <n v="23.8"/>
    <n v="4"/>
    <s v="D"/>
    <n v="0.1"/>
    <n v="21.42"/>
  </r>
  <r>
    <n v="244"/>
    <x v="89"/>
    <x v="89"/>
    <n v="5454"/>
    <s v="Anna Cunha"/>
    <n v="10550"/>
    <x v="90"/>
    <x v="17"/>
    <x v="0"/>
    <x v="0"/>
    <s v="JJ-3"/>
    <x v="3"/>
    <x v="0"/>
    <n v="7.5"/>
    <n v="2"/>
    <n v="15"/>
    <n v="2"/>
    <s v="B"/>
    <n v="0.06"/>
    <n v="14.1"/>
  </r>
  <r>
    <n v="245"/>
    <x v="90"/>
    <x v="90"/>
    <n v="8064"/>
    <s v="Amal Salazar"/>
    <n v="17972"/>
    <x v="83"/>
    <x v="8"/>
    <x v="2"/>
    <x v="0"/>
    <s v="OS-2"/>
    <x v="10"/>
    <x v="0"/>
    <n v="5.95"/>
    <n v="10"/>
    <n v="59.5"/>
    <n v="4"/>
    <s v="D"/>
    <n v="0.1"/>
    <n v="53.55"/>
  </r>
  <r>
    <n v="246"/>
    <x v="90"/>
    <x v="90"/>
    <n v="4350"/>
    <s v="Mukhtar Masih"/>
    <n v="19737"/>
    <x v="135"/>
    <x v="15"/>
    <x v="0"/>
    <x v="0"/>
    <s v="JJ-1"/>
    <x v="4"/>
    <x v="0"/>
    <n v="7.5"/>
    <n v="6"/>
    <n v="45"/>
    <n v="0"/>
    <s v="no discount"/>
    <n v="0"/>
    <n v="45"/>
  </r>
  <r>
    <n v="247"/>
    <x v="90"/>
    <x v="90"/>
    <n v="8064"/>
    <s v="Amal Salazar"/>
    <n v="10553"/>
    <x v="142"/>
    <x v="5"/>
    <x v="0"/>
    <x v="0"/>
    <s v="L-1"/>
    <x v="12"/>
    <x v="0"/>
    <n v="12"/>
    <n v="10"/>
    <n v="120"/>
    <n v="0"/>
    <s v="no discount"/>
    <n v="0"/>
    <n v="120"/>
  </r>
  <r>
    <n v="248"/>
    <x v="90"/>
    <x v="90"/>
    <n v="6464"/>
    <s v="Hamal M. Azzi"/>
    <n v="22597"/>
    <x v="136"/>
    <x v="7"/>
    <x v="2"/>
    <x v="0"/>
    <s v="L-1"/>
    <x v="12"/>
    <x v="0"/>
    <n v="12"/>
    <n v="1"/>
    <n v="12"/>
    <n v="4"/>
    <s v="D"/>
    <n v="0.1"/>
    <n v="10.8"/>
  </r>
  <r>
    <n v="249"/>
    <x v="91"/>
    <x v="91"/>
    <n v="4350"/>
    <s v="Mukhtar Masih"/>
    <n v="26350"/>
    <x v="109"/>
    <x v="12"/>
    <x v="0"/>
    <x v="0"/>
    <s v="H-3"/>
    <x v="7"/>
    <x v="0"/>
    <n v="10"/>
    <n v="7"/>
    <n v="70"/>
    <n v="0"/>
    <s v="no discount"/>
    <n v="0"/>
    <n v="70"/>
  </r>
  <r>
    <n v="250"/>
    <x v="92"/>
    <x v="92"/>
    <n v="6571"/>
    <s v="Iker Dominguez"/>
    <n v="12882"/>
    <x v="38"/>
    <x v="13"/>
    <x v="0"/>
    <x v="0"/>
    <s v="L-1"/>
    <x v="12"/>
    <x v="0"/>
    <n v="12"/>
    <n v="10"/>
    <n v="120"/>
    <n v="5"/>
    <s v="E"/>
    <n v="0.15"/>
    <n v="102"/>
  </r>
  <r>
    <n v="251"/>
    <x v="92"/>
    <x v="92"/>
    <n v="6892"/>
    <s v="Fahd Sleiman"/>
    <n v="23361"/>
    <x v="131"/>
    <x v="2"/>
    <x v="0"/>
    <x v="0"/>
    <s v="L-3"/>
    <x v="11"/>
    <x v="0"/>
    <n v="12"/>
    <n v="5"/>
    <n v="60"/>
    <n v="1"/>
    <s v="A"/>
    <n v="0.05"/>
    <n v="57"/>
  </r>
  <r>
    <n v="252"/>
    <x v="92"/>
    <x v="92"/>
    <n v="8064"/>
    <s v="Amal Salazar"/>
    <n v="19063"/>
    <x v="141"/>
    <x v="2"/>
    <x v="0"/>
    <x v="0"/>
    <s v="H-3"/>
    <x v="7"/>
    <x v="0"/>
    <n v="10"/>
    <n v="1"/>
    <n v="10"/>
    <n v="2"/>
    <s v="B"/>
    <n v="0.06"/>
    <n v="9.4"/>
  </r>
  <r>
    <n v="253"/>
    <x v="93"/>
    <x v="93"/>
    <n v="1384"/>
    <s v="Igor Almeida"/>
    <n v="21321"/>
    <x v="96"/>
    <x v="11"/>
    <x v="0"/>
    <x v="0"/>
    <s v="H-2"/>
    <x v="6"/>
    <x v="0"/>
    <n v="9.5"/>
    <n v="4"/>
    <n v="38"/>
    <n v="5"/>
    <s v="E"/>
    <n v="0.15"/>
    <n v="32.299999999999997"/>
  </r>
  <r>
    <n v="254"/>
    <x v="93"/>
    <x v="93"/>
    <n v="6143"/>
    <s v="Liane A. Cormier"/>
    <n v="12856"/>
    <x v="124"/>
    <x v="0"/>
    <x v="0"/>
    <x v="0"/>
    <s v="OS-1"/>
    <x v="8"/>
    <x v="0"/>
    <n v="5.95"/>
    <n v="1"/>
    <n v="5.95"/>
    <n v="0"/>
    <s v="no discount"/>
    <n v="0"/>
    <n v="5.95"/>
  </r>
  <r>
    <n v="255"/>
    <x v="93"/>
    <x v="93"/>
    <n v="6678"/>
    <s v="Amalia A. Ribeiro"/>
    <n v="21852"/>
    <x v="32"/>
    <x v="2"/>
    <x v="0"/>
    <x v="0"/>
    <s v="OS-3"/>
    <x v="0"/>
    <x v="0"/>
    <n v="5.95"/>
    <n v="2"/>
    <n v="11.9"/>
    <n v="1"/>
    <s v="A"/>
    <n v="0.05"/>
    <n v="11.305"/>
  </r>
  <r>
    <n v="256"/>
    <x v="93"/>
    <x v="93"/>
    <n v="6464"/>
    <s v="Hamal M. Azzi"/>
    <n v="23585"/>
    <x v="11"/>
    <x v="9"/>
    <x v="0"/>
    <x v="0"/>
    <s v="OS-2"/>
    <x v="10"/>
    <x v="0"/>
    <n v="5.95"/>
    <n v="6"/>
    <n v="35.700000000000003"/>
    <n v="0"/>
    <s v="no discount"/>
    <n v="0"/>
    <n v="35.700000000000003"/>
  </r>
  <r>
    <n v="257"/>
    <x v="93"/>
    <x v="93"/>
    <n v="8064"/>
    <s v="Amal Salazar"/>
    <n v="21785"/>
    <x v="49"/>
    <x v="2"/>
    <x v="0"/>
    <x v="0"/>
    <s v="H-2"/>
    <x v="6"/>
    <x v="0"/>
    <n v="9.5"/>
    <n v="9"/>
    <n v="85.5"/>
    <n v="1"/>
    <s v="A"/>
    <n v="0.05"/>
    <n v="81.224999999999994"/>
  </r>
  <r>
    <n v="258"/>
    <x v="94"/>
    <x v="94"/>
    <n v="5346"/>
    <s v="Sergio Galvez"/>
    <n v="10523"/>
    <x v="84"/>
    <x v="1"/>
    <x v="0"/>
    <x v="0"/>
    <s v="H-1"/>
    <x v="5"/>
    <x v="0"/>
    <n v="9"/>
    <n v="10"/>
    <n v="90"/>
    <n v="5"/>
    <s v="E"/>
    <n v="0.15"/>
    <n v="76.5"/>
  </r>
  <r>
    <n v="259"/>
    <x v="94"/>
    <x v="94"/>
    <n v="6892"/>
    <s v="Fahd Sleiman"/>
    <n v="23531"/>
    <x v="95"/>
    <x v="5"/>
    <x v="0"/>
    <x v="0"/>
    <s v="H-1"/>
    <x v="5"/>
    <x v="0"/>
    <n v="9"/>
    <n v="9"/>
    <n v="81"/>
    <n v="3"/>
    <s v="C"/>
    <n v="0.08"/>
    <n v="74.52"/>
  </r>
  <r>
    <n v="260"/>
    <x v="95"/>
    <x v="95"/>
    <n v="4350"/>
    <s v="Mukhtar Masih"/>
    <n v="21803"/>
    <x v="89"/>
    <x v="5"/>
    <x v="0"/>
    <x v="0"/>
    <s v="H-3"/>
    <x v="7"/>
    <x v="0"/>
    <n v="10"/>
    <n v="6"/>
    <n v="60"/>
    <n v="2"/>
    <s v="B"/>
    <n v="0.06"/>
    <n v="56.4"/>
  </r>
  <r>
    <n v="261"/>
    <x v="95"/>
    <x v="95"/>
    <n v="8064"/>
    <s v="Amal Salazar"/>
    <n v="10061"/>
    <x v="68"/>
    <x v="2"/>
    <x v="0"/>
    <x v="0"/>
    <s v="H-2"/>
    <x v="6"/>
    <x v="0"/>
    <n v="9.5"/>
    <n v="4"/>
    <n v="38"/>
    <n v="5"/>
    <s v="E"/>
    <n v="0.15"/>
    <n v="32.299999999999997"/>
  </r>
  <r>
    <n v="262"/>
    <x v="95"/>
    <x v="95"/>
    <n v="6678"/>
    <s v="Amalia A. Ribeiro"/>
    <n v="27538"/>
    <x v="1"/>
    <x v="1"/>
    <x v="0"/>
    <x v="0"/>
    <s v="L-1"/>
    <x v="12"/>
    <x v="0"/>
    <n v="12"/>
    <n v="2"/>
    <n v="24"/>
    <n v="5"/>
    <s v="E"/>
    <n v="0.15"/>
    <n v="20.399999999999999"/>
  </r>
  <r>
    <n v="263"/>
    <x v="95"/>
    <x v="95"/>
    <n v="5418"/>
    <s v="Isabell Couture"/>
    <n v="27191"/>
    <x v="13"/>
    <x v="1"/>
    <x v="0"/>
    <x v="0"/>
    <s v="JJ-3"/>
    <x v="3"/>
    <x v="0"/>
    <n v="7.5"/>
    <n v="7"/>
    <n v="52.5"/>
    <n v="1"/>
    <s v="A"/>
    <n v="0.05"/>
    <n v="49.875"/>
  </r>
  <r>
    <n v="264"/>
    <x v="96"/>
    <x v="96"/>
    <n v="6357"/>
    <s v="Johnny Bear"/>
    <n v="14501"/>
    <x v="139"/>
    <x v="17"/>
    <x v="0"/>
    <x v="0"/>
    <s v="OS-1"/>
    <x v="8"/>
    <x v="0"/>
    <n v="5.95"/>
    <n v="3"/>
    <n v="17.850000000000001"/>
    <n v="5"/>
    <s v="E"/>
    <n v="0.15"/>
    <n v="15.172500000000001"/>
  </r>
  <r>
    <n v="265"/>
    <x v="96"/>
    <x v="96"/>
    <n v="6892"/>
    <s v="Fahd Sleiman"/>
    <n v="15868"/>
    <x v="110"/>
    <x v="13"/>
    <x v="0"/>
    <x v="0"/>
    <s v="JJ-1"/>
    <x v="4"/>
    <x v="0"/>
    <n v="7.5"/>
    <n v="6"/>
    <n v="45"/>
    <n v="1"/>
    <s v="A"/>
    <n v="0.05"/>
    <n v="42.75"/>
  </r>
  <r>
    <n v="266"/>
    <x v="96"/>
    <x v="96"/>
    <n v="6892"/>
    <s v="Fahd Sleiman"/>
    <n v="21104"/>
    <x v="62"/>
    <x v="6"/>
    <x v="0"/>
    <x v="0"/>
    <s v="H-2"/>
    <x v="6"/>
    <x v="0"/>
    <n v="9.5"/>
    <n v="2"/>
    <n v="19"/>
    <n v="4"/>
    <s v="D"/>
    <n v="0.1"/>
    <n v="17.100000000000001"/>
  </r>
  <r>
    <n v="267"/>
    <x v="97"/>
    <x v="97"/>
    <n v="6892"/>
    <s v="Fahd Sleiman"/>
    <n v="18195"/>
    <x v="94"/>
    <x v="6"/>
    <x v="0"/>
    <x v="0"/>
    <s v="H-1"/>
    <x v="5"/>
    <x v="0"/>
    <n v="9"/>
    <n v="10"/>
    <n v="90"/>
    <n v="0"/>
    <s v="no discount"/>
    <n v="0"/>
    <n v="90"/>
  </r>
  <r>
    <n v="268"/>
    <x v="97"/>
    <x v="97"/>
    <n v="8064"/>
    <s v="Amal Salazar"/>
    <n v="26018"/>
    <x v="122"/>
    <x v="9"/>
    <x v="0"/>
    <x v="0"/>
    <s v="L-2"/>
    <x v="2"/>
    <x v="0"/>
    <n v="12"/>
    <n v="8"/>
    <n v="96"/>
    <n v="4"/>
    <s v="D"/>
    <n v="0.1"/>
    <n v="86.4"/>
  </r>
  <r>
    <n v="269"/>
    <x v="98"/>
    <x v="98"/>
    <n v="6464"/>
    <s v="Hamal M. Azzi"/>
    <n v="13014"/>
    <x v="56"/>
    <x v="6"/>
    <x v="0"/>
    <x v="0"/>
    <s v="JJ-3"/>
    <x v="3"/>
    <x v="0"/>
    <n v="7.5"/>
    <n v="9"/>
    <n v="67.5"/>
    <n v="5"/>
    <s v="E"/>
    <n v="0.15"/>
    <n v="57.375"/>
  </r>
  <r>
    <n v="270"/>
    <x v="98"/>
    <x v="98"/>
    <n v="6357"/>
    <s v="Johnny Bear"/>
    <n v="20177"/>
    <x v="39"/>
    <x v="2"/>
    <x v="0"/>
    <x v="0"/>
    <s v="JJ-3"/>
    <x v="3"/>
    <x v="0"/>
    <n v="7.5"/>
    <n v="4"/>
    <n v="30"/>
    <n v="3"/>
    <s v="C"/>
    <n v="0.08"/>
    <n v="27.6"/>
  </r>
  <r>
    <n v="271"/>
    <x v="99"/>
    <x v="99"/>
    <n v="6678"/>
    <s v="Amalia A. Ribeiro"/>
    <n v="22749"/>
    <x v="121"/>
    <x v="8"/>
    <x v="2"/>
    <x v="0"/>
    <s v="H-2"/>
    <x v="6"/>
    <x v="0"/>
    <n v="9.5"/>
    <n v="6"/>
    <n v="57"/>
    <n v="0"/>
    <s v="no discount"/>
    <n v="0"/>
    <n v="57"/>
  </r>
  <r>
    <n v="272"/>
    <x v="100"/>
    <x v="100"/>
    <n v="6678"/>
    <s v="Amalia A. Ribeiro"/>
    <n v="25168"/>
    <x v="143"/>
    <x v="17"/>
    <x v="0"/>
    <x v="0"/>
    <s v="JJ-2"/>
    <x v="9"/>
    <x v="0"/>
    <n v="7.5"/>
    <n v="3"/>
    <n v="22.5"/>
    <n v="4"/>
    <s v="D"/>
    <n v="0.1"/>
    <n v="20.25"/>
  </r>
  <r>
    <n v="273"/>
    <x v="101"/>
    <x v="101"/>
    <n v="8064"/>
    <s v="Amal Salazar"/>
    <n v="16741"/>
    <x v="88"/>
    <x v="4"/>
    <x v="1"/>
    <x v="0"/>
    <s v="JJ-1"/>
    <x v="4"/>
    <x v="0"/>
    <n v="7.5"/>
    <n v="2"/>
    <n v="15"/>
    <n v="1"/>
    <s v="A"/>
    <n v="0.05"/>
    <n v="14.25"/>
  </r>
  <r>
    <n v="274"/>
    <x v="101"/>
    <x v="101"/>
    <n v="5418"/>
    <s v="Isabell Couture"/>
    <n v="20676"/>
    <x v="17"/>
    <x v="9"/>
    <x v="0"/>
    <x v="0"/>
    <s v="H-2"/>
    <x v="6"/>
    <x v="0"/>
    <n v="9.5"/>
    <n v="5"/>
    <n v="47.5"/>
    <n v="4"/>
    <s v="D"/>
    <n v="0.1"/>
    <n v="42.75"/>
  </r>
  <r>
    <n v="275"/>
    <x v="101"/>
    <x v="101"/>
    <n v="5400"/>
    <s v="Maisha Karzai"/>
    <n v="15625"/>
    <x v="138"/>
    <x v="9"/>
    <x v="0"/>
    <x v="0"/>
    <s v="OS-3"/>
    <x v="0"/>
    <x v="0"/>
    <n v="5.95"/>
    <n v="9"/>
    <n v="53.550000000000004"/>
    <n v="2"/>
    <s v="B"/>
    <n v="0.06"/>
    <n v="50.337000000000003"/>
  </r>
  <r>
    <n v="276"/>
    <x v="101"/>
    <x v="101"/>
    <n v="6464"/>
    <s v="Hamal M. Azzi"/>
    <n v="22883"/>
    <x v="127"/>
    <x v="10"/>
    <x v="0"/>
    <x v="0"/>
    <s v="L-2"/>
    <x v="2"/>
    <x v="0"/>
    <n v="12"/>
    <n v="7"/>
    <n v="84"/>
    <n v="0"/>
    <s v="no discount"/>
    <n v="0"/>
    <n v="84"/>
  </r>
  <r>
    <n v="277"/>
    <x v="102"/>
    <x v="102"/>
    <n v="5346"/>
    <s v="Sergio Galvez"/>
    <n v="15288"/>
    <x v="37"/>
    <x v="9"/>
    <x v="0"/>
    <x v="0"/>
    <s v="OS-2"/>
    <x v="10"/>
    <x v="0"/>
    <n v="5.95"/>
    <n v="10"/>
    <n v="59.5"/>
    <n v="0"/>
    <s v="no discount"/>
    <n v="0"/>
    <n v="59.5"/>
  </r>
  <r>
    <n v="278"/>
    <x v="102"/>
    <x v="102"/>
    <n v="6678"/>
    <s v="Amalia A. Ribeiro"/>
    <n v="23211"/>
    <x v="24"/>
    <x v="6"/>
    <x v="0"/>
    <x v="0"/>
    <s v="L-2"/>
    <x v="2"/>
    <x v="0"/>
    <n v="12"/>
    <n v="1"/>
    <n v="12"/>
    <n v="1"/>
    <s v="A"/>
    <n v="0.05"/>
    <n v="11.4"/>
  </r>
  <r>
    <n v="279"/>
    <x v="102"/>
    <x v="102"/>
    <n v="5418"/>
    <s v="Isabell Couture"/>
    <n v="19375"/>
    <x v="43"/>
    <x v="6"/>
    <x v="0"/>
    <x v="0"/>
    <s v="OS-1"/>
    <x v="8"/>
    <x v="0"/>
    <n v="5.95"/>
    <n v="3"/>
    <n v="17.850000000000001"/>
    <n v="4"/>
    <s v="D"/>
    <n v="0.1"/>
    <n v="16.065000000000001"/>
  </r>
  <r>
    <n v="280"/>
    <x v="102"/>
    <x v="102"/>
    <n v="8064"/>
    <s v="Amal Salazar"/>
    <n v="15256"/>
    <x v="15"/>
    <x v="6"/>
    <x v="0"/>
    <x v="0"/>
    <s v="L-2"/>
    <x v="2"/>
    <x v="0"/>
    <n v="12"/>
    <n v="4"/>
    <n v="48"/>
    <n v="5"/>
    <s v="E"/>
    <n v="0.15"/>
    <n v="40.799999999999997"/>
  </r>
  <r>
    <n v="281"/>
    <x v="102"/>
    <x v="102"/>
    <n v="6892"/>
    <s v="Fahd Sleiman"/>
    <n v="24924"/>
    <x v="46"/>
    <x v="9"/>
    <x v="0"/>
    <x v="0"/>
    <s v="JJ-2"/>
    <x v="9"/>
    <x v="0"/>
    <n v="7.5"/>
    <n v="3"/>
    <n v="22.5"/>
    <n v="5"/>
    <s v="E"/>
    <n v="0.15"/>
    <n v="19.125"/>
  </r>
  <r>
    <n v="282"/>
    <x v="102"/>
    <x v="102"/>
    <n v="6143"/>
    <s v="Liane A. Cormier"/>
    <n v="26554"/>
    <x v="144"/>
    <x v="6"/>
    <x v="0"/>
    <x v="0"/>
    <s v="JJ-1"/>
    <x v="4"/>
    <x v="0"/>
    <n v="7.5"/>
    <n v="8"/>
    <n v="60"/>
    <n v="3"/>
    <s v="C"/>
    <n v="0.08"/>
    <n v="55.2"/>
  </r>
  <r>
    <n v="283"/>
    <x v="102"/>
    <x v="102"/>
    <n v="6678"/>
    <s v="Amalia A. Ribeiro"/>
    <n v="15256"/>
    <x v="15"/>
    <x v="6"/>
    <x v="0"/>
    <x v="0"/>
    <s v="L-3"/>
    <x v="11"/>
    <x v="0"/>
    <n v="12"/>
    <n v="5"/>
    <n v="60"/>
    <n v="2"/>
    <s v="B"/>
    <n v="0.06"/>
    <n v="56.4"/>
  </r>
  <r>
    <n v="284"/>
    <x v="103"/>
    <x v="103"/>
    <n v="5418"/>
    <s v="Isabell Couture"/>
    <n v="10075"/>
    <x v="67"/>
    <x v="2"/>
    <x v="0"/>
    <x v="0"/>
    <s v="OS-3"/>
    <x v="0"/>
    <x v="0"/>
    <n v="5.95"/>
    <n v="5"/>
    <n v="29.75"/>
    <n v="4"/>
    <s v="D"/>
    <n v="0.1"/>
    <n v="26.774999999999999"/>
  </r>
  <r>
    <n v="285"/>
    <x v="103"/>
    <x v="103"/>
    <n v="8064"/>
    <s v="Amal Salazar"/>
    <n v="12265"/>
    <x v="0"/>
    <x v="0"/>
    <x v="0"/>
    <x v="0"/>
    <s v="OS-2"/>
    <x v="10"/>
    <x v="0"/>
    <n v="5.95"/>
    <n v="8"/>
    <n v="47.6"/>
    <n v="0"/>
    <s v="no discount"/>
    <n v="0"/>
    <n v="47.6"/>
  </r>
  <r>
    <n v="286"/>
    <x v="104"/>
    <x v="104"/>
    <n v="6678"/>
    <s v="Amalia A. Ribeiro"/>
    <n v="25355"/>
    <x v="53"/>
    <x v="16"/>
    <x v="0"/>
    <x v="0"/>
    <s v="JJ-4"/>
    <x v="1"/>
    <x v="0"/>
    <n v="8"/>
    <n v="8"/>
    <n v="64"/>
    <n v="1"/>
    <s v="A"/>
    <n v="0.05"/>
    <n v="60.8"/>
  </r>
  <r>
    <n v="287"/>
    <x v="104"/>
    <x v="104"/>
    <n v="6250"/>
    <s v="Hu Lin"/>
    <n v="25168"/>
    <x v="143"/>
    <x v="17"/>
    <x v="0"/>
    <x v="0"/>
    <s v="JJ-1"/>
    <x v="4"/>
    <x v="0"/>
    <n v="7.5"/>
    <n v="5"/>
    <n v="37.5"/>
    <n v="2"/>
    <s v="B"/>
    <n v="0.06"/>
    <n v="35.25"/>
  </r>
  <r>
    <n v="288"/>
    <x v="104"/>
    <x v="104"/>
    <n v="4350"/>
    <s v="Mukhtar Masih"/>
    <n v="16088"/>
    <x v="140"/>
    <x v="6"/>
    <x v="0"/>
    <x v="0"/>
    <s v="JJ-4"/>
    <x v="1"/>
    <x v="0"/>
    <n v="8"/>
    <n v="2"/>
    <n v="16"/>
    <n v="2"/>
    <s v="B"/>
    <n v="0.06"/>
    <n v="15.04"/>
  </r>
  <r>
    <n v="289"/>
    <x v="105"/>
    <x v="105"/>
    <n v="6678"/>
    <s v="Amalia A. Ribeiro"/>
    <n v="25523"/>
    <x v="73"/>
    <x v="6"/>
    <x v="0"/>
    <x v="0"/>
    <s v="L-3"/>
    <x v="11"/>
    <x v="0"/>
    <n v="12"/>
    <n v="5"/>
    <n v="60"/>
    <n v="0"/>
    <s v="no discount"/>
    <n v="0"/>
    <n v="60"/>
  </r>
  <r>
    <n v="290"/>
    <x v="105"/>
    <x v="105"/>
    <n v="5454"/>
    <s v="Anna Cunha"/>
    <n v="23607"/>
    <x v="130"/>
    <x v="4"/>
    <x v="1"/>
    <x v="0"/>
    <s v="L-3"/>
    <x v="11"/>
    <x v="0"/>
    <n v="12"/>
    <n v="3"/>
    <n v="36"/>
    <n v="2"/>
    <s v="B"/>
    <n v="0.06"/>
    <n v="33.840000000000003"/>
  </r>
  <r>
    <n v="291"/>
    <x v="106"/>
    <x v="106"/>
    <n v="5400"/>
    <s v="Maisha Karzai"/>
    <n v="19904"/>
    <x v="35"/>
    <x v="16"/>
    <x v="0"/>
    <x v="0"/>
    <s v="JJ-4"/>
    <x v="1"/>
    <x v="0"/>
    <n v="8"/>
    <n v="7"/>
    <n v="56"/>
    <n v="0"/>
    <s v="no discount"/>
    <n v="0"/>
    <n v="56"/>
  </r>
  <r>
    <n v="292"/>
    <x v="106"/>
    <x v="106"/>
    <n v="6892"/>
    <s v="Fahd Sleiman"/>
    <n v="10734"/>
    <x v="92"/>
    <x v="8"/>
    <x v="2"/>
    <x v="0"/>
    <s v="H-1"/>
    <x v="5"/>
    <x v="0"/>
    <n v="9"/>
    <n v="6"/>
    <n v="54"/>
    <n v="0"/>
    <s v="no discount"/>
    <n v="0"/>
    <n v="54"/>
  </r>
  <r>
    <n v="293"/>
    <x v="106"/>
    <x v="106"/>
    <n v="8064"/>
    <s v="Amal Salazar"/>
    <n v="25226"/>
    <x v="34"/>
    <x v="15"/>
    <x v="0"/>
    <x v="0"/>
    <s v="OS-3"/>
    <x v="0"/>
    <x v="0"/>
    <n v="5.95"/>
    <n v="7"/>
    <n v="41.65"/>
    <n v="1"/>
    <s v="A"/>
    <n v="0.05"/>
    <n v="39.567499999999995"/>
  </r>
  <r>
    <n v="294"/>
    <x v="107"/>
    <x v="107"/>
    <n v="6571"/>
    <s v="Iker Dominguez"/>
    <n v="10558"/>
    <x v="36"/>
    <x v="2"/>
    <x v="0"/>
    <x v="0"/>
    <s v="L-2"/>
    <x v="2"/>
    <x v="0"/>
    <n v="12"/>
    <n v="1"/>
    <n v="12"/>
    <n v="0"/>
    <s v="no discount"/>
    <n v="0"/>
    <n v="12"/>
  </r>
  <r>
    <n v="295"/>
    <x v="107"/>
    <x v="107"/>
    <n v="6892"/>
    <s v="Fahd Sleiman"/>
    <n v="18345"/>
    <x v="120"/>
    <x v="0"/>
    <x v="0"/>
    <x v="0"/>
    <s v="JJ-4"/>
    <x v="1"/>
    <x v="0"/>
    <n v="8"/>
    <n v="1"/>
    <n v="8"/>
    <n v="3"/>
    <s v="C"/>
    <n v="0.08"/>
    <n v="7.36"/>
  </r>
  <r>
    <n v="296"/>
    <x v="108"/>
    <x v="108"/>
    <n v="8064"/>
    <s v="Amal Salazar"/>
    <n v="20177"/>
    <x v="39"/>
    <x v="2"/>
    <x v="0"/>
    <x v="0"/>
    <s v="JJ-2"/>
    <x v="9"/>
    <x v="0"/>
    <n v="7.5"/>
    <n v="7"/>
    <n v="52.5"/>
    <n v="1"/>
    <s v="A"/>
    <n v="0.05"/>
    <n v="49.875"/>
  </r>
  <r>
    <n v="297"/>
    <x v="109"/>
    <x v="109"/>
    <n v="5454"/>
    <s v="Anna Cunha"/>
    <n v="26554"/>
    <x v="144"/>
    <x v="6"/>
    <x v="0"/>
    <x v="0"/>
    <s v="H-3"/>
    <x v="7"/>
    <x v="0"/>
    <n v="10"/>
    <n v="4"/>
    <n v="40"/>
    <n v="5"/>
    <s v="E"/>
    <n v="0.15"/>
    <n v="34"/>
  </r>
  <r>
    <n v="298"/>
    <x v="109"/>
    <x v="109"/>
    <n v="1384"/>
    <s v="Igor Almeida"/>
    <n v="11124"/>
    <x v="3"/>
    <x v="3"/>
    <x v="0"/>
    <x v="0"/>
    <s v="L-1"/>
    <x v="12"/>
    <x v="0"/>
    <n v="12"/>
    <n v="3"/>
    <n v="36"/>
    <n v="1"/>
    <s v="A"/>
    <n v="0.05"/>
    <n v="34.200000000000003"/>
  </r>
  <r>
    <n v="299"/>
    <x v="110"/>
    <x v="110"/>
    <n v="6678"/>
    <s v="Amalia A. Ribeiro"/>
    <n v="10553"/>
    <x v="142"/>
    <x v="5"/>
    <x v="0"/>
    <x v="0"/>
    <s v="JJ-4"/>
    <x v="1"/>
    <x v="0"/>
    <n v="8"/>
    <n v="9"/>
    <n v="72"/>
    <n v="3"/>
    <s v="C"/>
    <n v="0.08"/>
    <n v="66.239999999999995"/>
  </r>
  <r>
    <n v="300"/>
    <x v="110"/>
    <x v="110"/>
    <n v="6678"/>
    <s v="Amalia A. Ribeiro"/>
    <n v="17610"/>
    <x v="98"/>
    <x v="2"/>
    <x v="0"/>
    <x v="0"/>
    <s v="L-2"/>
    <x v="2"/>
    <x v="0"/>
    <n v="12"/>
    <n v="5"/>
    <n v="60"/>
    <n v="3"/>
    <s v="C"/>
    <n v="0.08"/>
    <n v="55.2"/>
  </r>
  <r>
    <n v="301"/>
    <x v="110"/>
    <x v="110"/>
    <n v="6678"/>
    <s v="Amalia A. Ribeiro"/>
    <n v="26510"/>
    <x v="129"/>
    <x v="8"/>
    <x v="2"/>
    <x v="0"/>
    <s v="JJ-1"/>
    <x v="4"/>
    <x v="0"/>
    <n v="7.5"/>
    <n v="9"/>
    <n v="67.5"/>
    <n v="0"/>
    <s v="no discount"/>
    <n v="0"/>
    <n v="67.5"/>
  </r>
  <r>
    <n v="302"/>
    <x v="110"/>
    <x v="110"/>
    <n v="5400"/>
    <s v="Maisha Karzai"/>
    <n v="12032"/>
    <x v="79"/>
    <x v="6"/>
    <x v="0"/>
    <x v="0"/>
    <s v="L-2"/>
    <x v="2"/>
    <x v="0"/>
    <n v="12"/>
    <n v="7"/>
    <n v="84"/>
    <n v="1"/>
    <s v="A"/>
    <n v="0.05"/>
    <n v="79.8"/>
  </r>
  <r>
    <n v="303"/>
    <x v="110"/>
    <x v="110"/>
    <n v="6892"/>
    <s v="Fahd Sleiman"/>
    <n v="16595"/>
    <x v="115"/>
    <x v="6"/>
    <x v="0"/>
    <x v="0"/>
    <s v="OS-3"/>
    <x v="0"/>
    <x v="0"/>
    <n v="5.95"/>
    <n v="7"/>
    <n v="41.65"/>
    <n v="3"/>
    <s v="C"/>
    <n v="0.08"/>
    <n v="38.317999999999998"/>
  </r>
  <r>
    <n v="304"/>
    <x v="111"/>
    <x v="111"/>
    <n v="4350"/>
    <s v="Mukhtar Masih"/>
    <n v="28732"/>
    <x v="45"/>
    <x v="11"/>
    <x v="0"/>
    <x v="0"/>
    <s v="L-1"/>
    <x v="12"/>
    <x v="0"/>
    <n v="12"/>
    <n v="1"/>
    <n v="12"/>
    <n v="0"/>
    <s v="no discount"/>
    <n v="0"/>
    <n v="12"/>
  </r>
  <r>
    <n v="305"/>
    <x v="111"/>
    <x v="111"/>
    <n v="6143"/>
    <s v="Liane A. Cormier"/>
    <n v="24926"/>
    <x v="71"/>
    <x v="14"/>
    <x v="0"/>
    <x v="0"/>
    <s v="JJ-3"/>
    <x v="3"/>
    <x v="0"/>
    <n v="7.5"/>
    <n v="4"/>
    <n v="30"/>
    <n v="2"/>
    <s v="B"/>
    <n v="0.06"/>
    <n v="28.2"/>
  </r>
  <r>
    <n v="306"/>
    <x v="111"/>
    <x v="111"/>
    <n v="5400"/>
    <s v="Maisha Karzai"/>
    <n v="25355"/>
    <x v="53"/>
    <x v="16"/>
    <x v="0"/>
    <x v="0"/>
    <s v="L-3"/>
    <x v="11"/>
    <x v="0"/>
    <n v="12"/>
    <n v="7"/>
    <n v="84"/>
    <n v="4"/>
    <s v="D"/>
    <n v="0.1"/>
    <n v="75.59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AB57D-6306-42F1-806F-2C9BA1C1D8AB}" name="SalesDiscounts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 colHeaderCaption="City">
  <location ref="A3:B18" firstHeaderRow="1" firstDataRow="1" firstDataCol="1" rowPageCount="1" colPageCount="1"/>
  <pivotFields count="2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showAll="0"/>
    <pivotField axis="axisPage" showAll="0">
      <items count="20">
        <item x="13"/>
        <item x="14"/>
        <item x="5"/>
        <item x="12"/>
        <item x="8"/>
        <item x="1"/>
        <item x="9"/>
        <item x="2"/>
        <item x="16"/>
        <item x="6"/>
        <item m="1" x="18"/>
        <item x="3"/>
        <item x="4"/>
        <item x="17"/>
        <item x="11"/>
        <item x="0"/>
        <item x="15"/>
        <item x="10"/>
        <item x="7"/>
        <item t="default"/>
      </items>
    </pivotField>
    <pivotField showAll="0"/>
    <pivotField showAll="0"/>
    <pivotField showAll="0"/>
    <pivotField axis="axisRow" showAll="0">
      <items count="14">
        <item x="7"/>
        <item x="5"/>
        <item x="2"/>
        <item x="12"/>
        <item x="0"/>
        <item x="9"/>
        <item x="3"/>
        <item x="11"/>
        <item x="8"/>
        <item x="1"/>
        <item x="4"/>
        <item x="10"/>
        <item x="6"/>
        <item t="default"/>
      </items>
    </pivotField>
    <pivotField axis="axisRow" showAll="0">
      <items count="2">
        <item x="0"/>
        <item t="default"/>
      </items>
    </pivotField>
    <pivotField numFmtId="44" showAll="0"/>
    <pivotField numFmtId="1" showAll="0"/>
    <pivotField numFmtId="44" showAll="0"/>
    <pivotField showAll="0"/>
    <pivotField showAll="0"/>
    <pivotField numFmtId="9" showAll="0"/>
    <pivotField dataField="1"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2"/>
    <field x="11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1">
    <pageField fld="7" hier="-1"/>
  </pageFields>
  <dataFields count="1">
    <dataField name="Sales with existing discounts" fld="19" baseField="9" baseItem="5" numFmtId="4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3092D-DD16-4770-88EE-05226F613C03}" name="CitySal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A3:C22" firstHeaderRow="0" firstDataRow="1" firstDataCol="1"/>
  <pivotFields count="2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showAll="0"/>
    <pivotField axis="axisRow" dataField="1" showAll="0">
      <items count="20">
        <item x="13"/>
        <item x="14"/>
        <item x="5"/>
        <item x="12"/>
        <item x="8"/>
        <item x="1"/>
        <item x="9"/>
        <item x="2"/>
        <item x="16"/>
        <item x="6"/>
        <item m="1" x="18"/>
        <item x="3"/>
        <item x="4"/>
        <item x="17"/>
        <item x="11"/>
        <item x="0"/>
        <item x="15"/>
        <item x="10"/>
        <item x="7"/>
        <item t="default"/>
      </items>
    </pivotField>
    <pivotField showAll="0"/>
    <pivotField showAll="0"/>
    <pivotField showAll="0"/>
    <pivotField showAll="0"/>
    <pivotField showAll="0"/>
    <pivotField numFmtId="44" showAll="0"/>
    <pivotField numFmtId="1" showAll="0"/>
    <pivotField numFmtId="44" showAll="0"/>
    <pivotField showAll="0"/>
    <pivotField showAll="0"/>
    <pivotField numFmtId="9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# of Sales" fld="7" subtotal="count" baseField="0" baseItem="0"/>
    <dataField name="Total Order Amt" fld="19" baseField="7" baseItem="0" numFmtId="42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8B08-607E-4767-8A8D-17B9D9EFC20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F4" firstHeaderRow="1" firstDataRow="2" firstDataCol="1"/>
  <pivotFields count="21"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axis="axisRow" dataField="1" showAll="0">
      <items count="146">
        <item sd="0" x="65"/>
        <item sd="0" x="101"/>
        <item sd="0" x="78"/>
        <item sd="0" x="21"/>
        <item sd="0" x="56"/>
        <item sd="0" x="64"/>
        <item sd="0" x="98"/>
        <item sd="0" x="108"/>
        <item sd="0" x="5"/>
        <item sd="0" x="107"/>
        <item sd="0" x="54"/>
        <item sd="0" x="86"/>
        <item sd="0" x="38"/>
        <item sd="0" x="25"/>
        <item sd="0" x="114"/>
        <item sd="0" x="26"/>
        <item sd="0" x="129"/>
        <item sd="0" x="128"/>
        <item sd="0" x="35"/>
        <item sd="0" x="130"/>
        <item sd="0" x="139"/>
        <item sd="0" x="62"/>
        <item sd="0" x="46"/>
        <item sd="0" x="23"/>
        <item sd="0" x="45"/>
        <item sd="0" x="137"/>
        <item sd="0" x="138"/>
        <item sd="0" x="60"/>
        <item sd="0" x="126"/>
        <item sd="0" x="47"/>
        <item sd="0" x="1"/>
        <item sd="0" x="82"/>
        <item sd="0" x="48"/>
        <item sd="0" x="32"/>
        <item sd="0" x="72"/>
        <item sd="0" x="110"/>
        <item sd="0" x="134"/>
        <item sd="0" x="41"/>
        <item sd="0" x="113"/>
        <item sd="0" x="132"/>
        <item sd="0" x="121"/>
        <item sd="0" x="70"/>
        <item sd="0" x="4"/>
        <item sd="0" x="80"/>
        <item sd="0" x="43"/>
        <item sd="0" x="69"/>
        <item sd="0" x="58"/>
        <item sd="0" x="144"/>
        <item sd="0" x="125"/>
        <item sd="0" x="136"/>
        <item sd="0" x="61"/>
        <item sd="0" x="20"/>
        <item sd="0" x="9"/>
        <item sd="0" x="111"/>
        <item sd="0" x="81"/>
        <item sd="0" x="19"/>
        <item sd="0" x="34"/>
        <item sd="0" x="74"/>
        <item sd="0" x="28"/>
        <item sd="0" x="99"/>
        <item sd="0" x="12"/>
        <item sd="0" x="59"/>
        <item sd="0" x="14"/>
        <item sd="0" x="112"/>
        <item sd="0" x="66"/>
        <item sd="0" x="143"/>
        <item sd="0" x="140"/>
        <item sd="0" x="122"/>
        <item sd="0" x="73"/>
        <item sd="0" x="115"/>
        <item sd="0" x="68"/>
        <item sd="0" x="106"/>
        <item sd="0" x="91"/>
        <item sd="0" x="102"/>
        <item sd="0" x="36"/>
        <item sd="0" x="0"/>
        <item sd="0" x="76"/>
        <item sd="0" x="109"/>
        <item sd="0" x="116"/>
        <item sd="0" x="3"/>
        <item sd="0" x="44"/>
        <item sd="0" x="8"/>
        <item sd="0" x="51"/>
        <item sd="0" x="88"/>
        <item sd="0" x="90"/>
        <item sd="0" x="15"/>
        <item sd="0" x="37"/>
        <item sd="0" x="94"/>
        <item sd="0" x="117"/>
        <item sd="0" x="103"/>
        <item sd="0" x="63"/>
        <item sd="0" x="39"/>
        <item sd="0" x="105"/>
        <item sd="0" x="42"/>
        <item sd="0" x="95"/>
        <item sd="0" x="141"/>
        <item sd="0" x="135"/>
        <item sd="0" x="120"/>
        <item sd="0" x="33"/>
        <item sd="0" x="75"/>
        <item sd="0" x="50"/>
        <item sd="0" x="77"/>
        <item sd="0" x="10"/>
        <item sd="0" x="85"/>
        <item sd="0" x="53"/>
        <item sd="0" x="55"/>
        <item sd="0" x="16"/>
        <item sd="0" x="17"/>
        <item sd="0" x="6"/>
        <item sd="0" x="87"/>
        <item sd="0" x="79"/>
        <item sd="0" x="118"/>
        <item sd="0" x="123"/>
        <item sd="0" x="49"/>
        <item sd="0" x="93"/>
        <item sd="0" x="13"/>
        <item sd="0" x="142"/>
        <item sd="0" x="31"/>
        <item sd="0" x="67"/>
        <item sd="0" x="133"/>
        <item sd="0" x="22"/>
        <item sd="0" x="57"/>
        <item sd="0" x="127"/>
        <item sd="0" x="40"/>
        <item sd="0" x="83"/>
        <item sd="0" x="92"/>
        <item sd="0" x="100"/>
        <item sd="0" x="27"/>
        <item sd="0" x="119"/>
        <item sd="0" x="24"/>
        <item sd="0" x="11"/>
        <item sd="0" x="18"/>
        <item sd="0" x="96"/>
        <item sd="0" x="104"/>
        <item sd="0" x="30"/>
        <item sd="0" x="7"/>
        <item sd="0" x="131"/>
        <item sd="0" x="2"/>
        <item sd="0" x="84"/>
        <item sd="0" x="89"/>
        <item sd="0" x="71"/>
        <item sd="0" x="29"/>
        <item sd="0" x="97"/>
        <item sd="0" x="124"/>
        <item sd="0" x="52"/>
        <item t="default"/>
      </items>
    </pivotField>
    <pivotField axis="axisRow" showAll="0">
      <items count="20">
        <item sd="0" x="13"/>
        <item sd="0" x="14"/>
        <item sd="0" x="5"/>
        <item sd="0" x="12"/>
        <item sd="0" x="8"/>
        <item sd="0" x="1"/>
        <item sd="0" x="9"/>
        <item sd="0" x="2"/>
        <item sd="0" x="16"/>
        <item sd="0" x="6"/>
        <item sd="0" m="1" x="18"/>
        <item sd="0" x="3"/>
        <item sd="0" x="4"/>
        <item sd="0" x="17"/>
        <item sd="0" x="11"/>
        <item sd="0" x="0"/>
        <item sd="0" x="15"/>
        <item sd="0" x="10"/>
        <item sd="0" x="7"/>
        <item t="default" sd="0"/>
      </items>
    </pivotField>
    <pivotField axis="axisRow" showAll="0">
      <items count="4">
        <item sd="0" x="0"/>
        <item sd="0" x="1"/>
        <item sd="0" x="2"/>
        <item t="default" sd="0"/>
      </items>
    </pivotField>
    <pivotField axis="axisRow" showAll="0">
      <items count="2">
        <item sd="0" x="0"/>
        <item t="default" sd="0"/>
      </items>
    </pivotField>
    <pivotField showAll="0"/>
    <pivotField showAll="0"/>
    <pivotField showAll="0"/>
    <pivotField numFmtId="44" showAll="0"/>
    <pivotField numFmtId="1" showAll="0"/>
    <pivotField numFmtId="44" showAll="0"/>
    <pivotField showAll="0"/>
    <pivotField showAll="0"/>
    <pivotField numFmtId="9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4">
    <field x="9"/>
    <field x="8"/>
    <field x="7"/>
    <field x="6"/>
  </rowFields>
  <rowItems count="2">
    <i>
      <x/>
    </i>
    <i t="grand">
      <x/>
    </i>
  </rowItems>
  <colFields count="1">
    <field x="1"/>
  </colFields>
  <colItems count="5">
    <i>
      <x v="6"/>
    </i>
    <i>
      <x v="7"/>
    </i>
    <i>
      <x v="8"/>
    </i>
    <i>
      <x v="9"/>
    </i>
    <i t="grand">
      <x/>
    </i>
  </colItems>
  <dataFields count="1">
    <dataField name="Count of Customer full name" fld="6" subtotal="count" baseField="0" baseItem="0"/>
  </dataFields>
  <chartFormats count="5"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817C-9688-47B9-B340-0D6C8E9286C3}">
  <sheetPr codeName="Sheet2"/>
  <dimension ref="A1:G23"/>
  <sheetViews>
    <sheetView workbookViewId="0">
      <selection activeCell="A16" sqref="A16"/>
    </sheetView>
  </sheetViews>
  <sheetFormatPr defaultRowHeight="14.4" x14ac:dyDescent="0.3"/>
  <cols>
    <col min="1" max="1" width="15.33203125" bestFit="1" customWidth="1"/>
    <col min="2" max="2" width="17.21875" style="22" bestFit="1" customWidth="1"/>
    <col min="3" max="3" width="27.33203125" bestFit="1" customWidth="1"/>
    <col min="4" max="4" width="12.44140625" bestFit="1" customWidth="1"/>
    <col min="5" max="5" width="18.109375" customWidth="1"/>
    <col min="6" max="6" width="22.44140625" customWidth="1"/>
    <col min="7" max="7" width="18.109375" customWidth="1"/>
    <col min="8" max="8" width="19.21875" customWidth="1"/>
  </cols>
  <sheetData>
    <row r="1" spans="1:7" ht="40.799999999999997" customHeight="1" thickBot="1" x14ac:dyDescent="0.35">
      <c r="A1" s="40" t="s">
        <v>0</v>
      </c>
      <c r="B1" s="40" t="s">
        <v>1</v>
      </c>
      <c r="C1" s="40" t="s">
        <v>2</v>
      </c>
      <c r="D1" s="40" t="s">
        <v>3</v>
      </c>
      <c r="E1" s="39" t="s">
        <v>274</v>
      </c>
      <c r="F1" s="39" t="s">
        <v>292</v>
      </c>
    </row>
    <row r="2" spans="1:7" ht="15" thickTop="1" x14ac:dyDescent="0.3">
      <c r="A2" t="s">
        <v>11</v>
      </c>
      <c r="B2" s="22" t="s">
        <v>12</v>
      </c>
      <c r="C2" t="s">
        <v>13</v>
      </c>
      <c r="D2" s="1">
        <v>9</v>
      </c>
      <c r="E2">
        <v>10</v>
      </c>
      <c r="F2" s="4"/>
      <c r="G2" s="4"/>
    </row>
    <row r="3" spans="1:7" x14ac:dyDescent="0.3">
      <c r="A3" t="s">
        <v>11</v>
      </c>
      <c r="B3" s="22" t="s">
        <v>14</v>
      </c>
      <c r="C3" t="s">
        <v>15</v>
      </c>
      <c r="D3" s="1">
        <v>9.5</v>
      </c>
      <c r="E3">
        <v>10</v>
      </c>
      <c r="F3" s="4"/>
    </row>
    <row r="4" spans="1:7" x14ac:dyDescent="0.3">
      <c r="A4" t="s">
        <v>11</v>
      </c>
      <c r="B4" s="22" t="s">
        <v>16</v>
      </c>
      <c r="C4" t="s">
        <v>17</v>
      </c>
      <c r="D4" s="1">
        <v>10</v>
      </c>
      <c r="E4">
        <v>10</v>
      </c>
      <c r="F4" s="4"/>
    </row>
    <row r="5" spans="1:7" x14ac:dyDescent="0.3">
      <c r="A5" t="s">
        <v>18</v>
      </c>
      <c r="B5" s="22" t="s">
        <v>19</v>
      </c>
      <c r="C5" t="s">
        <v>20</v>
      </c>
      <c r="D5" s="1">
        <v>7.5</v>
      </c>
      <c r="E5">
        <v>10</v>
      </c>
      <c r="F5" s="4"/>
    </row>
    <row r="6" spans="1:7" x14ac:dyDescent="0.3">
      <c r="A6" t="s">
        <v>18</v>
      </c>
      <c r="B6" s="22" t="s">
        <v>21</v>
      </c>
      <c r="C6" t="s">
        <v>22</v>
      </c>
      <c r="D6" s="1">
        <v>7.5</v>
      </c>
      <c r="E6">
        <v>10</v>
      </c>
      <c r="F6" s="4"/>
    </row>
    <row r="7" spans="1:7" x14ac:dyDescent="0.3">
      <c r="A7" t="s">
        <v>18</v>
      </c>
      <c r="B7" s="22" t="s">
        <v>23</v>
      </c>
      <c r="C7" t="s">
        <v>24</v>
      </c>
      <c r="D7" s="1">
        <v>7.5</v>
      </c>
      <c r="E7">
        <v>10</v>
      </c>
      <c r="F7" s="4"/>
    </row>
    <row r="8" spans="1:7" x14ac:dyDescent="0.3">
      <c r="A8" t="s">
        <v>18</v>
      </c>
      <c r="B8" s="22" t="s">
        <v>25</v>
      </c>
      <c r="C8" t="s">
        <v>26</v>
      </c>
      <c r="D8" s="1">
        <v>8</v>
      </c>
      <c r="E8">
        <v>10</v>
      </c>
      <c r="F8" s="4"/>
    </row>
    <row r="9" spans="1:7" x14ac:dyDescent="0.3">
      <c r="A9" t="s">
        <v>27</v>
      </c>
      <c r="B9" s="22" t="s">
        <v>28</v>
      </c>
      <c r="C9" t="s">
        <v>29</v>
      </c>
      <c r="D9" s="1">
        <v>12</v>
      </c>
      <c r="E9">
        <v>6</v>
      </c>
      <c r="F9" s="4"/>
    </row>
    <row r="10" spans="1:7" x14ac:dyDescent="0.3">
      <c r="A10" t="s">
        <v>27</v>
      </c>
      <c r="B10" s="22" t="s">
        <v>30</v>
      </c>
      <c r="C10" t="s">
        <v>31</v>
      </c>
      <c r="D10" s="1">
        <v>12</v>
      </c>
      <c r="E10">
        <v>6</v>
      </c>
      <c r="F10" s="4"/>
    </row>
    <row r="11" spans="1:7" x14ac:dyDescent="0.3">
      <c r="A11" t="s">
        <v>27</v>
      </c>
      <c r="B11" s="22" t="s">
        <v>32</v>
      </c>
      <c r="C11" t="s">
        <v>33</v>
      </c>
      <c r="D11" s="1">
        <v>12</v>
      </c>
      <c r="E11">
        <v>6</v>
      </c>
      <c r="F11" s="4"/>
    </row>
    <row r="12" spans="1:7" x14ac:dyDescent="0.3">
      <c r="A12" t="s">
        <v>4</v>
      </c>
      <c r="B12" s="22" t="s">
        <v>5</v>
      </c>
      <c r="C12" t="s">
        <v>6</v>
      </c>
      <c r="D12" s="1">
        <v>5.95</v>
      </c>
      <c r="E12">
        <v>5</v>
      </c>
      <c r="F12" s="4"/>
    </row>
    <row r="13" spans="1:7" x14ac:dyDescent="0.3">
      <c r="A13" t="s">
        <v>4</v>
      </c>
      <c r="B13" s="22" t="s">
        <v>7</v>
      </c>
      <c r="C13" t="s">
        <v>8</v>
      </c>
      <c r="D13" s="1">
        <v>5.95</v>
      </c>
      <c r="E13">
        <v>5</v>
      </c>
      <c r="F13" s="4"/>
    </row>
    <row r="14" spans="1:7" x14ac:dyDescent="0.3">
      <c r="A14" t="s">
        <v>4</v>
      </c>
      <c r="B14" s="22" t="s">
        <v>9</v>
      </c>
      <c r="C14" t="s">
        <v>10</v>
      </c>
      <c r="D14" s="1">
        <v>5.95</v>
      </c>
      <c r="E14">
        <v>5</v>
      </c>
      <c r="F14" s="4"/>
    </row>
    <row r="16" spans="1:7" x14ac:dyDescent="0.3">
      <c r="B16" s="23"/>
      <c r="C16" s="24"/>
    </row>
    <row r="19" spans="2:3" x14ac:dyDescent="0.3">
      <c r="B19" s="24"/>
      <c r="C19" s="23"/>
    </row>
    <row r="20" spans="2:3" x14ac:dyDescent="0.3">
      <c r="B20" s="24"/>
      <c r="C20" s="23"/>
    </row>
    <row r="21" spans="2:3" x14ac:dyDescent="0.3">
      <c r="B21" s="24"/>
      <c r="C21" s="23"/>
    </row>
    <row r="22" spans="2:3" x14ac:dyDescent="0.3">
      <c r="B22" s="24"/>
      <c r="C22" s="23"/>
    </row>
    <row r="23" spans="2:3" x14ac:dyDescent="0.3">
      <c r="B23" s="24"/>
      <c r="C23" s="23"/>
    </row>
  </sheetData>
  <sortState xmlns:xlrd2="http://schemas.microsoft.com/office/spreadsheetml/2017/richdata2" ref="A2:D14">
    <sortCondition ref="B3:B1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98C8-3FE4-42B0-A47D-142FB2598EB8}">
  <dimension ref="A1:B23"/>
  <sheetViews>
    <sheetView workbookViewId="0">
      <selection activeCell="C11" sqref="C11"/>
    </sheetView>
  </sheetViews>
  <sheetFormatPr defaultRowHeight="14.4" x14ac:dyDescent="0.3"/>
  <cols>
    <col min="1" max="1" width="19.33203125" bestFit="1" customWidth="1"/>
    <col min="2" max="2" width="8" bestFit="1" customWidth="1"/>
  </cols>
  <sheetData>
    <row r="1" spans="1:2" ht="15" thickBot="1" x14ac:dyDescent="0.35">
      <c r="A1" s="42" t="s">
        <v>280</v>
      </c>
      <c r="B1" s="42" t="s">
        <v>279</v>
      </c>
    </row>
    <row r="2" spans="1:2" ht="15" thickBot="1" x14ac:dyDescent="0.35">
      <c r="A2" s="43" t="s">
        <v>281</v>
      </c>
      <c r="B2" s="44">
        <v>44561</v>
      </c>
    </row>
    <row r="3" spans="1:2" ht="15" thickBot="1" x14ac:dyDescent="0.35">
      <c r="A3" s="43" t="s">
        <v>282</v>
      </c>
      <c r="B3" s="44">
        <v>44578</v>
      </c>
    </row>
    <row r="4" spans="1:2" ht="15" thickBot="1" x14ac:dyDescent="0.35">
      <c r="A4" s="43" t="s">
        <v>283</v>
      </c>
      <c r="B4" s="44">
        <v>44613</v>
      </c>
    </row>
    <row r="5" spans="1:2" ht="15" thickBot="1" x14ac:dyDescent="0.35">
      <c r="A5" s="43" t="s">
        <v>284</v>
      </c>
      <c r="B5" s="44">
        <v>44711</v>
      </c>
    </row>
    <row r="6" spans="1:2" ht="15" thickBot="1" x14ac:dyDescent="0.35">
      <c r="A6" s="43" t="s">
        <v>285</v>
      </c>
      <c r="B6" s="44">
        <v>44732</v>
      </c>
    </row>
    <row r="7" spans="1:2" ht="15" thickBot="1" x14ac:dyDescent="0.35">
      <c r="A7" s="43" t="s">
        <v>286</v>
      </c>
      <c r="B7" s="44">
        <v>44746</v>
      </c>
    </row>
    <row r="8" spans="1:2" ht="15" thickBot="1" x14ac:dyDescent="0.35">
      <c r="A8" s="43" t="s">
        <v>287</v>
      </c>
      <c r="B8" s="44">
        <v>44809</v>
      </c>
    </row>
    <row r="9" spans="1:2" ht="15" thickBot="1" x14ac:dyDescent="0.35">
      <c r="A9" s="43" t="s">
        <v>288</v>
      </c>
      <c r="B9" s="44">
        <v>44844</v>
      </c>
    </row>
    <row r="10" spans="1:2" ht="15" thickBot="1" x14ac:dyDescent="0.35">
      <c r="A10" s="43" t="s">
        <v>289</v>
      </c>
      <c r="B10" s="44">
        <v>44876</v>
      </c>
    </row>
    <row r="11" spans="1:2" ht="15" thickBot="1" x14ac:dyDescent="0.35">
      <c r="A11" s="43" t="s">
        <v>290</v>
      </c>
      <c r="B11" s="44">
        <v>44889</v>
      </c>
    </row>
    <row r="12" spans="1:2" ht="15" thickBot="1" x14ac:dyDescent="0.35">
      <c r="A12" s="43" t="s">
        <v>291</v>
      </c>
      <c r="B12" s="44">
        <v>44921</v>
      </c>
    </row>
    <row r="13" spans="1:2" ht="15" thickBot="1" x14ac:dyDescent="0.35">
      <c r="A13" s="43" t="s">
        <v>281</v>
      </c>
      <c r="B13" s="44">
        <v>44928</v>
      </c>
    </row>
    <row r="14" spans="1:2" ht="15" thickBot="1" x14ac:dyDescent="0.35">
      <c r="A14" s="43" t="s">
        <v>282</v>
      </c>
      <c r="B14" s="44">
        <v>44942</v>
      </c>
    </row>
    <row r="15" spans="1:2" ht="15" thickBot="1" x14ac:dyDescent="0.35">
      <c r="A15" s="43" t="s">
        <v>283</v>
      </c>
      <c r="B15" s="44">
        <v>44977</v>
      </c>
    </row>
    <row r="16" spans="1:2" ht="15" thickBot="1" x14ac:dyDescent="0.35">
      <c r="A16" s="43" t="s">
        <v>284</v>
      </c>
      <c r="B16" s="44">
        <v>45075</v>
      </c>
    </row>
    <row r="17" spans="1:2" ht="15" thickBot="1" x14ac:dyDescent="0.35">
      <c r="A17" s="43" t="s">
        <v>285</v>
      </c>
      <c r="B17" s="44">
        <v>45096</v>
      </c>
    </row>
    <row r="18" spans="1:2" ht="15" thickBot="1" x14ac:dyDescent="0.35">
      <c r="A18" s="43" t="s">
        <v>286</v>
      </c>
      <c r="B18" s="44">
        <v>45111</v>
      </c>
    </row>
    <row r="19" spans="1:2" ht="15" thickBot="1" x14ac:dyDescent="0.35">
      <c r="A19" s="43" t="s">
        <v>287</v>
      </c>
      <c r="B19" s="44">
        <v>45173</v>
      </c>
    </row>
    <row r="20" spans="1:2" ht="15" thickBot="1" x14ac:dyDescent="0.35">
      <c r="A20" s="43" t="s">
        <v>288</v>
      </c>
      <c r="B20" s="44">
        <v>45208</v>
      </c>
    </row>
    <row r="21" spans="1:2" ht="15" thickBot="1" x14ac:dyDescent="0.35">
      <c r="A21" s="43" t="s">
        <v>289</v>
      </c>
      <c r="B21" s="44">
        <v>45241</v>
      </c>
    </row>
    <row r="22" spans="1:2" ht="15" thickBot="1" x14ac:dyDescent="0.35">
      <c r="A22" s="43" t="s">
        <v>290</v>
      </c>
      <c r="B22" s="44">
        <v>45253</v>
      </c>
    </row>
    <row r="23" spans="1:2" x14ac:dyDescent="0.3">
      <c r="A23" s="43" t="s">
        <v>291</v>
      </c>
      <c r="B23" s="44">
        <v>45285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2311-D7BA-4F3B-A06B-1B910C6A36BF}">
  <sheetPr codeName="Sheet3"/>
  <dimension ref="A1:V731"/>
  <sheetViews>
    <sheetView workbookViewId="0">
      <selection activeCell="E30" sqref="E30"/>
    </sheetView>
  </sheetViews>
  <sheetFormatPr defaultRowHeight="14.4" x14ac:dyDescent="0.3"/>
  <cols>
    <col min="2" max="2" width="15.5546875" customWidth="1"/>
    <col min="3" max="3" width="11.88671875" style="9" customWidth="1"/>
    <col min="4" max="4" width="15.5546875" customWidth="1"/>
    <col min="5" max="5" width="21.77734375" customWidth="1"/>
    <col min="6" max="6" width="16.21875" bestFit="1" customWidth="1"/>
    <col min="7" max="10" width="20.88671875" customWidth="1"/>
    <col min="11" max="11" width="11.33203125" bestFit="1" customWidth="1"/>
    <col min="12" max="12" width="27.33203125" bestFit="1" customWidth="1"/>
    <col min="13" max="13" width="27.33203125" customWidth="1"/>
    <col min="14" max="14" width="20.88671875" customWidth="1"/>
    <col min="15" max="15" width="12.44140625" customWidth="1"/>
    <col min="16" max="16" width="13.21875" bestFit="1" customWidth="1"/>
    <col min="17" max="17" width="11.5546875" customWidth="1"/>
    <col min="18" max="18" width="10.77734375" customWidth="1"/>
    <col min="19" max="19" width="13.77734375" customWidth="1"/>
    <col min="20" max="20" width="13.21875" customWidth="1"/>
    <col min="22" max="22" width="39.5546875" customWidth="1"/>
  </cols>
  <sheetData>
    <row r="1" spans="1:22" s="3" customFormat="1" ht="47.55" customHeight="1" thickBot="1" x14ac:dyDescent="0.35">
      <c r="A1" s="2" t="s">
        <v>34</v>
      </c>
      <c r="B1" s="2" t="s">
        <v>35</v>
      </c>
      <c r="C1" s="2" t="s">
        <v>36</v>
      </c>
      <c r="D1" s="2" t="s">
        <v>72</v>
      </c>
      <c r="E1" s="2" t="s">
        <v>124</v>
      </c>
      <c r="F1" s="2" t="s">
        <v>37</v>
      </c>
      <c r="G1" s="2" t="s">
        <v>38</v>
      </c>
      <c r="H1" s="2" t="s">
        <v>39</v>
      </c>
      <c r="I1" s="2" t="s">
        <v>294</v>
      </c>
      <c r="J1" s="2" t="s">
        <v>295</v>
      </c>
      <c r="K1" s="2" t="s">
        <v>1</v>
      </c>
      <c r="L1" s="2" t="s">
        <v>2</v>
      </c>
      <c r="M1" s="2" t="s">
        <v>65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V1"/>
    </row>
    <row r="2" spans="1:22" ht="15" thickTop="1" x14ac:dyDescent="0.3">
      <c r="A2">
        <v>1</v>
      </c>
      <c r="B2" s="4">
        <v>44713</v>
      </c>
      <c r="C2" s="5">
        <v>44713</v>
      </c>
      <c r="D2">
        <v>6892</v>
      </c>
      <c r="E2" t="s">
        <v>93</v>
      </c>
      <c r="F2">
        <v>12265</v>
      </c>
      <c r="G2" t="s">
        <v>129</v>
      </c>
      <c r="H2" t="s">
        <v>61</v>
      </c>
      <c r="I2" t="s">
        <v>297</v>
      </c>
      <c r="J2" t="s">
        <v>296</v>
      </c>
      <c r="K2" t="s">
        <v>9</v>
      </c>
      <c r="L2" t="s">
        <v>10</v>
      </c>
      <c r="N2" s="1">
        <v>5.95</v>
      </c>
      <c r="O2" s="6">
        <v>7</v>
      </c>
      <c r="P2" s="7">
        <f t="shared" ref="P2:P65" si="0">N2*O2</f>
        <v>41.65</v>
      </c>
      <c r="Q2">
        <v>4</v>
      </c>
      <c r="R2" s="4" t="s">
        <v>66</v>
      </c>
      <c r="S2" s="8">
        <v>0.1</v>
      </c>
      <c r="T2" s="7">
        <f t="shared" ref="T2:T65" si="1">P2-P2*S2</f>
        <v>37.484999999999999</v>
      </c>
    </row>
    <row r="3" spans="1:22" x14ac:dyDescent="0.3">
      <c r="A3">
        <v>2</v>
      </c>
      <c r="B3" s="4">
        <v>44714</v>
      </c>
      <c r="C3" s="5">
        <v>44714</v>
      </c>
      <c r="D3">
        <v>6464</v>
      </c>
      <c r="E3" t="s">
        <v>103</v>
      </c>
      <c r="F3">
        <v>27538</v>
      </c>
      <c r="G3" t="s">
        <v>130</v>
      </c>
      <c r="H3" t="s">
        <v>52</v>
      </c>
      <c r="I3" t="s">
        <v>297</v>
      </c>
      <c r="J3" t="s">
        <v>296</v>
      </c>
      <c r="K3" t="s">
        <v>25</v>
      </c>
      <c r="L3" t="s">
        <v>26</v>
      </c>
      <c r="N3" s="1">
        <v>8</v>
      </c>
      <c r="O3" s="6">
        <v>8</v>
      </c>
      <c r="P3" s="7">
        <f t="shared" si="0"/>
        <v>64</v>
      </c>
      <c r="Q3">
        <v>0</v>
      </c>
      <c r="R3" s="4" t="s">
        <v>67</v>
      </c>
      <c r="S3" s="8">
        <v>0</v>
      </c>
      <c r="T3" s="7">
        <f t="shared" si="1"/>
        <v>64</v>
      </c>
    </row>
    <row r="4" spans="1:22" x14ac:dyDescent="0.3">
      <c r="A4">
        <v>3</v>
      </c>
      <c r="B4" s="4">
        <v>44714</v>
      </c>
      <c r="C4" s="5">
        <v>44714</v>
      </c>
      <c r="D4">
        <v>1384</v>
      </c>
      <c r="E4" t="s">
        <v>95</v>
      </c>
      <c r="F4">
        <v>16736</v>
      </c>
      <c r="G4" t="s">
        <v>131</v>
      </c>
      <c r="H4" t="s">
        <v>54</v>
      </c>
      <c r="I4" t="s">
        <v>297</v>
      </c>
      <c r="J4" t="s">
        <v>296</v>
      </c>
      <c r="K4" t="s">
        <v>9</v>
      </c>
      <c r="L4" t="s">
        <v>10</v>
      </c>
      <c r="N4" s="1">
        <v>5.95</v>
      </c>
      <c r="O4" s="6">
        <v>5</v>
      </c>
      <c r="P4" s="7">
        <f t="shared" si="0"/>
        <v>29.75</v>
      </c>
      <c r="Q4">
        <v>0</v>
      </c>
      <c r="R4" s="4" t="s">
        <v>67</v>
      </c>
      <c r="S4" s="8">
        <v>0</v>
      </c>
      <c r="T4" s="7">
        <f t="shared" si="1"/>
        <v>29.75</v>
      </c>
    </row>
    <row r="5" spans="1:22" x14ac:dyDescent="0.3">
      <c r="A5">
        <v>4</v>
      </c>
      <c r="B5" s="4">
        <v>44714</v>
      </c>
      <c r="C5" s="5">
        <v>44714</v>
      </c>
      <c r="D5">
        <v>6678</v>
      </c>
      <c r="E5" t="s">
        <v>102</v>
      </c>
      <c r="F5">
        <v>11124</v>
      </c>
      <c r="G5" t="s">
        <v>132</v>
      </c>
      <c r="H5" t="s">
        <v>57</v>
      </c>
      <c r="I5" t="s">
        <v>297</v>
      </c>
      <c r="J5" t="s">
        <v>296</v>
      </c>
      <c r="K5" t="s">
        <v>30</v>
      </c>
      <c r="L5" t="s">
        <v>31</v>
      </c>
      <c r="N5" s="1">
        <v>12</v>
      </c>
      <c r="O5" s="6">
        <v>5</v>
      </c>
      <c r="P5" s="7">
        <f t="shared" si="0"/>
        <v>60</v>
      </c>
      <c r="Q5">
        <v>4</v>
      </c>
      <c r="R5" s="4" t="s">
        <v>66</v>
      </c>
      <c r="S5" s="8">
        <v>0.1</v>
      </c>
      <c r="T5" s="7">
        <f t="shared" si="1"/>
        <v>54</v>
      </c>
    </row>
    <row r="6" spans="1:22" x14ac:dyDescent="0.3">
      <c r="A6">
        <v>5</v>
      </c>
      <c r="B6" s="4">
        <v>44716</v>
      </c>
      <c r="C6" s="5">
        <v>44716</v>
      </c>
      <c r="D6">
        <v>6678</v>
      </c>
      <c r="E6" t="s">
        <v>102</v>
      </c>
      <c r="F6">
        <v>22713</v>
      </c>
      <c r="G6" t="s">
        <v>133</v>
      </c>
      <c r="H6" t="s">
        <v>58</v>
      </c>
      <c r="I6" t="s">
        <v>299</v>
      </c>
      <c r="J6" t="s">
        <v>296</v>
      </c>
      <c r="K6" t="s">
        <v>23</v>
      </c>
      <c r="L6" t="s">
        <v>24</v>
      </c>
      <c r="N6" s="1">
        <v>7.5</v>
      </c>
      <c r="O6" s="6">
        <v>7</v>
      </c>
      <c r="P6" s="7">
        <f t="shared" si="0"/>
        <v>52.5</v>
      </c>
      <c r="Q6">
        <v>3</v>
      </c>
      <c r="R6" s="4" t="s">
        <v>68</v>
      </c>
      <c r="S6" s="8">
        <v>0.08</v>
      </c>
      <c r="T6" s="7">
        <f t="shared" si="1"/>
        <v>48.3</v>
      </c>
    </row>
    <row r="7" spans="1:22" x14ac:dyDescent="0.3">
      <c r="A7">
        <v>6</v>
      </c>
      <c r="B7" s="4">
        <v>44717</v>
      </c>
      <c r="C7" s="5">
        <v>44717</v>
      </c>
      <c r="D7">
        <v>6357</v>
      </c>
      <c r="E7" t="s">
        <v>98</v>
      </c>
      <c r="F7">
        <v>10681</v>
      </c>
      <c r="G7" t="s">
        <v>134</v>
      </c>
      <c r="H7" t="s">
        <v>49</v>
      </c>
      <c r="I7" t="s">
        <v>297</v>
      </c>
      <c r="J7" t="s">
        <v>296</v>
      </c>
      <c r="K7" t="s">
        <v>9</v>
      </c>
      <c r="L7" t="s">
        <v>10</v>
      </c>
      <c r="N7" s="1">
        <v>5.95</v>
      </c>
      <c r="O7" s="6">
        <v>4</v>
      </c>
      <c r="P7" s="7">
        <f t="shared" si="0"/>
        <v>23.8</v>
      </c>
      <c r="Q7">
        <v>0</v>
      </c>
      <c r="R7" s="4" t="s">
        <v>67</v>
      </c>
      <c r="S7" s="8">
        <v>0</v>
      </c>
      <c r="T7" s="7">
        <f t="shared" si="1"/>
        <v>23.8</v>
      </c>
    </row>
    <row r="8" spans="1:22" x14ac:dyDescent="0.3">
      <c r="A8">
        <v>7</v>
      </c>
      <c r="B8" s="4">
        <v>44717</v>
      </c>
      <c r="C8" s="5">
        <v>44717</v>
      </c>
      <c r="D8">
        <v>6143</v>
      </c>
      <c r="E8" t="s">
        <v>104</v>
      </c>
      <c r="F8">
        <v>21064</v>
      </c>
      <c r="G8" t="s">
        <v>135</v>
      </c>
      <c r="H8" t="s">
        <v>56</v>
      </c>
      <c r="I8" t="s">
        <v>297</v>
      </c>
      <c r="J8" t="s">
        <v>296</v>
      </c>
      <c r="K8" t="s">
        <v>19</v>
      </c>
      <c r="L8" t="s">
        <v>20</v>
      </c>
      <c r="N8" s="1">
        <v>7.5</v>
      </c>
      <c r="O8" s="6">
        <v>2</v>
      </c>
      <c r="P8" s="7">
        <f t="shared" si="0"/>
        <v>15</v>
      </c>
      <c r="Q8">
        <v>5</v>
      </c>
      <c r="R8" s="4" t="s">
        <v>69</v>
      </c>
      <c r="S8" s="8">
        <v>0.15</v>
      </c>
      <c r="T8" s="7">
        <f t="shared" si="1"/>
        <v>12.75</v>
      </c>
    </row>
    <row r="9" spans="1:22" x14ac:dyDescent="0.3">
      <c r="A9">
        <v>8</v>
      </c>
      <c r="B9" s="4">
        <v>44717</v>
      </c>
      <c r="C9" s="5">
        <v>44717</v>
      </c>
      <c r="D9">
        <v>6464</v>
      </c>
      <c r="E9" t="s">
        <v>103</v>
      </c>
      <c r="F9">
        <v>28365</v>
      </c>
      <c r="G9" t="s">
        <v>136</v>
      </c>
      <c r="H9" t="s">
        <v>300</v>
      </c>
      <c r="I9" t="s">
        <v>298</v>
      </c>
      <c r="J9" t="s">
        <v>296</v>
      </c>
      <c r="K9" t="s">
        <v>30</v>
      </c>
      <c r="L9" t="s">
        <v>31</v>
      </c>
      <c r="N9" s="1">
        <v>12</v>
      </c>
      <c r="O9" s="6">
        <v>8</v>
      </c>
      <c r="P9" s="7">
        <f t="shared" si="0"/>
        <v>96</v>
      </c>
      <c r="Q9">
        <v>1</v>
      </c>
      <c r="R9" s="4" t="s">
        <v>70</v>
      </c>
      <c r="S9" s="8">
        <v>0.05</v>
      </c>
      <c r="T9" s="7">
        <f t="shared" si="1"/>
        <v>91.2</v>
      </c>
    </row>
    <row r="10" spans="1:22" x14ac:dyDescent="0.3">
      <c r="A10">
        <v>9</v>
      </c>
      <c r="B10" s="4">
        <v>44717</v>
      </c>
      <c r="C10" s="5">
        <v>44717</v>
      </c>
      <c r="D10">
        <v>6250</v>
      </c>
      <c r="E10" t="s">
        <v>94</v>
      </c>
      <c r="F10">
        <v>17717</v>
      </c>
      <c r="G10" t="s">
        <v>137</v>
      </c>
      <c r="H10" t="s">
        <v>51</v>
      </c>
      <c r="I10" t="s">
        <v>298</v>
      </c>
      <c r="J10" t="s">
        <v>296</v>
      </c>
      <c r="K10" t="s">
        <v>12</v>
      </c>
      <c r="L10" t="s">
        <v>13</v>
      </c>
      <c r="N10" s="1">
        <v>9</v>
      </c>
      <c r="O10" s="6">
        <v>2</v>
      </c>
      <c r="P10" s="7">
        <f t="shared" si="0"/>
        <v>18</v>
      </c>
      <c r="Q10">
        <v>1</v>
      </c>
      <c r="R10" s="4" t="s">
        <v>70</v>
      </c>
      <c r="S10" s="8">
        <v>0.05</v>
      </c>
      <c r="T10" s="7">
        <f t="shared" si="1"/>
        <v>17.100000000000001</v>
      </c>
    </row>
    <row r="11" spans="1:22" x14ac:dyDescent="0.3">
      <c r="A11">
        <v>10</v>
      </c>
      <c r="B11" s="4">
        <v>44717</v>
      </c>
      <c r="C11" s="5">
        <v>44717</v>
      </c>
      <c r="D11">
        <v>5400</v>
      </c>
      <c r="E11" t="s">
        <v>99</v>
      </c>
      <c r="F11">
        <v>15353</v>
      </c>
      <c r="G11" t="s">
        <v>138</v>
      </c>
      <c r="H11" t="s">
        <v>52</v>
      </c>
      <c r="I11" t="s">
        <v>297</v>
      </c>
      <c r="J11" t="s">
        <v>296</v>
      </c>
      <c r="K11" t="s">
        <v>14</v>
      </c>
      <c r="L11" t="s">
        <v>15</v>
      </c>
      <c r="N11" s="1">
        <v>9.5</v>
      </c>
      <c r="O11" s="6">
        <v>3</v>
      </c>
      <c r="P11" s="7">
        <f t="shared" si="0"/>
        <v>28.5</v>
      </c>
      <c r="Q11">
        <v>2</v>
      </c>
      <c r="R11" s="4" t="s">
        <v>71</v>
      </c>
      <c r="S11" s="8">
        <v>0.06</v>
      </c>
      <c r="T11" s="7">
        <f t="shared" si="1"/>
        <v>26.79</v>
      </c>
    </row>
    <row r="12" spans="1:22" x14ac:dyDescent="0.3">
      <c r="A12">
        <v>11</v>
      </c>
      <c r="B12" s="4">
        <v>44718</v>
      </c>
      <c r="C12" s="5">
        <v>44718</v>
      </c>
      <c r="D12">
        <v>1384</v>
      </c>
      <c r="E12" t="s">
        <v>95</v>
      </c>
      <c r="F12">
        <v>24952</v>
      </c>
      <c r="G12" t="s">
        <v>139</v>
      </c>
      <c r="H12" t="s">
        <v>51</v>
      </c>
      <c r="I12" t="s">
        <v>298</v>
      </c>
      <c r="J12" t="s">
        <v>296</v>
      </c>
      <c r="K12" t="s">
        <v>16</v>
      </c>
      <c r="L12" t="s">
        <v>17</v>
      </c>
      <c r="N12" s="1">
        <v>10</v>
      </c>
      <c r="O12" s="6">
        <v>8</v>
      </c>
      <c r="P12" s="7">
        <f t="shared" si="0"/>
        <v>80</v>
      </c>
      <c r="Q12">
        <v>5</v>
      </c>
      <c r="R12" s="4" t="s">
        <v>69</v>
      </c>
      <c r="S12" s="8">
        <v>0.15</v>
      </c>
      <c r="T12" s="7">
        <f t="shared" si="1"/>
        <v>68</v>
      </c>
    </row>
    <row r="13" spans="1:22" x14ac:dyDescent="0.3">
      <c r="A13">
        <v>12</v>
      </c>
      <c r="B13" s="4">
        <v>44718</v>
      </c>
      <c r="C13" s="5">
        <v>44718</v>
      </c>
      <c r="D13">
        <v>6678</v>
      </c>
      <c r="E13" t="s">
        <v>102</v>
      </c>
      <c r="F13">
        <v>23585</v>
      </c>
      <c r="G13" t="s">
        <v>140</v>
      </c>
      <c r="H13" t="s">
        <v>53</v>
      </c>
      <c r="I13" t="s">
        <v>297</v>
      </c>
      <c r="J13" t="s">
        <v>296</v>
      </c>
      <c r="K13" t="s">
        <v>5</v>
      </c>
      <c r="L13" t="s">
        <v>6</v>
      </c>
      <c r="N13" s="1">
        <v>5.95</v>
      </c>
      <c r="O13" s="6">
        <v>10</v>
      </c>
      <c r="P13" s="7">
        <f t="shared" si="0"/>
        <v>59.5</v>
      </c>
      <c r="Q13">
        <v>2</v>
      </c>
      <c r="R13" s="4" t="s">
        <v>71</v>
      </c>
      <c r="S13" s="8">
        <v>0.06</v>
      </c>
      <c r="T13" s="7">
        <f t="shared" si="1"/>
        <v>55.93</v>
      </c>
    </row>
    <row r="14" spans="1:22" x14ac:dyDescent="0.3">
      <c r="A14">
        <v>13</v>
      </c>
      <c r="B14" s="4">
        <v>44718</v>
      </c>
      <c r="C14" s="5">
        <v>44718</v>
      </c>
      <c r="D14">
        <v>6892</v>
      </c>
      <c r="E14" t="s">
        <v>93</v>
      </c>
      <c r="F14">
        <v>25929</v>
      </c>
      <c r="G14" t="s">
        <v>141</v>
      </c>
      <c r="H14" t="s">
        <v>63</v>
      </c>
      <c r="I14" t="s">
        <v>297</v>
      </c>
      <c r="J14" t="s">
        <v>296</v>
      </c>
      <c r="K14" t="s">
        <v>25</v>
      </c>
      <c r="L14" t="s">
        <v>26</v>
      </c>
      <c r="N14" s="1">
        <v>8</v>
      </c>
      <c r="O14" s="6">
        <v>9</v>
      </c>
      <c r="P14" s="7">
        <f t="shared" si="0"/>
        <v>72</v>
      </c>
      <c r="Q14">
        <v>5</v>
      </c>
      <c r="R14" s="4" t="s">
        <v>69</v>
      </c>
      <c r="S14" s="8">
        <v>0.15</v>
      </c>
      <c r="T14" s="7">
        <f t="shared" si="1"/>
        <v>61.2</v>
      </c>
    </row>
    <row r="15" spans="1:22" x14ac:dyDescent="0.3">
      <c r="A15">
        <v>14</v>
      </c>
      <c r="B15" s="4">
        <v>44718</v>
      </c>
      <c r="C15" s="5">
        <v>44718</v>
      </c>
      <c r="D15">
        <v>5346</v>
      </c>
      <c r="E15" t="s">
        <v>101</v>
      </c>
      <c r="F15">
        <v>27191</v>
      </c>
      <c r="G15" t="s">
        <v>142</v>
      </c>
      <c r="H15" t="s">
        <v>52</v>
      </c>
      <c r="I15" t="s">
        <v>297</v>
      </c>
      <c r="J15" t="s">
        <v>296</v>
      </c>
      <c r="K15" t="s">
        <v>21</v>
      </c>
      <c r="L15" t="s">
        <v>22</v>
      </c>
      <c r="N15" s="1">
        <v>7.5</v>
      </c>
      <c r="O15" s="6">
        <v>9</v>
      </c>
      <c r="P15" s="7">
        <f t="shared" si="0"/>
        <v>67.5</v>
      </c>
      <c r="Q15">
        <v>0</v>
      </c>
      <c r="R15" s="4" t="s">
        <v>67</v>
      </c>
      <c r="S15" s="8">
        <v>0</v>
      </c>
      <c r="T15" s="7">
        <f t="shared" si="1"/>
        <v>67.5</v>
      </c>
    </row>
    <row r="16" spans="1:22" x14ac:dyDescent="0.3">
      <c r="A16">
        <v>15</v>
      </c>
      <c r="B16" s="4">
        <v>44718</v>
      </c>
      <c r="C16" s="5">
        <v>44718</v>
      </c>
      <c r="D16">
        <v>6464</v>
      </c>
      <c r="E16" t="s">
        <v>103</v>
      </c>
      <c r="F16">
        <v>15561</v>
      </c>
      <c r="G16" t="s">
        <v>143</v>
      </c>
      <c r="H16" t="s">
        <v>51</v>
      </c>
      <c r="I16" t="s">
        <v>298</v>
      </c>
      <c r="J16" t="s">
        <v>296</v>
      </c>
      <c r="K16" t="s">
        <v>7</v>
      </c>
      <c r="L16" t="s">
        <v>8</v>
      </c>
      <c r="N16" s="1">
        <v>5.95</v>
      </c>
      <c r="O16" s="6">
        <v>2</v>
      </c>
      <c r="P16" s="7">
        <f t="shared" si="0"/>
        <v>11.9</v>
      </c>
      <c r="Q16">
        <v>2</v>
      </c>
      <c r="R16" s="4" t="s">
        <v>71</v>
      </c>
      <c r="S16" s="8">
        <v>0.06</v>
      </c>
      <c r="T16" s="7">
        <f t="shared" si="1"/>
        <v>11.186</v>
      </c>
    </row>
    <row r="17" spans="1:20" x14ac:dyDescent="0.3">
      <c r="A17">
        <v>16</v>
      </c>
      <c r="B17" s="4">
        <v>44718</v>
      </c>
      <c r="C17" s="5">
        <v>44718</v>
      </c>
      <c r="D17">
        <v>5346</v>
      </c>
      <c r="E17" t="s">
        <v>101</v>
      </c>
      <c r="F17">
        <v>15256</v>
      </c>
      <c r="G17" t="s">
        <v>144</v>
      </c>
      <c r="H17" t="s">
        <v>56</v>
      </c>
      <c r="I17" t="s">
        <v>297</v>
      </c>
      <c r="J17" t="s">
        <v>296</v>
      </c>
      <c r="K17" t="s">
        <v>5</v>
      </c>
      <c r="L17" t="s">
        <v>6</v>
      </c>
      <c r="N17" s="1">
        <v>5.95</v>
      </c>
      <c r="O17" s="6">
        <v>3</v>
      </c>
      <c r="P17" s="7">
        <f t="shared" si="0"/>
        <v>17.850000000000001</v>
      </c>
      <c r="Q17">
        <v>3</v>
      </c>
      <c r="R17" s="4" t="s">
        <v>68</v>
      </c>
      <c r="S17" s="8">
        <v>0.08</v>
      </c>
      <c r="T17" s="7">
        <f t="shared" si="1"/>
        <v>16.422000000000001</v>
      </c>
    </row>
    <row r="18" spans="1:20" x14ac:dyDescent="0.3">
      <c r="A18">
        <v>17</v>
      </c>
      <c r="B18" s="4">
        <v>44719</v>
      </c>
      <c r="C18" s="5">
        <v>44719</v>
      </c>
      <c r="D18">
        <v>6678</v>
      </c>
      <c r="E18" t="s">
        <v>102</v>
      </c>
      <c r="F18">
        <v>23450</v>
      </c>
      <c r="G18" t="s">
        <v>145</v>
      </c>
      <c r="H18" t="s">
        <v>56</v>
      </c>
      <c r="I18" t="s">
        <v>297</v>
      </c>
      <c r="J18" t="s">
        <v>296</v>
      </c>
      <c r="K18" t="s">
        <v>9</v>
      </c>
      <c r="L18" t="s">
        <v>10</v>
      </c>
      <c r="N18" s="1">
        <v>5.95</v>
      </c>
      <c r="O18" s="6">
        <v>5</v>
      </c>
      <c r="P18" s="7">
        <f t="shared" si="0"/>
        <v>29.75</v>
      </c>
      <c r="Q18">
        <v>1</v>
      </c>
      <c r="R18" s="4" t="s">
        <v>70</v>
      </c>
      <c r="S18" s="8">
        <v>0.05</v>
      </c>
      <c r="T18" s="7">
        <f t="shared" si="1"/>
        <v>28.262499999999999</v>
      </c>
    </row>
    <row r="19" spans="1:20" x14ac:dyDescent="0.3">
      <c r="A19">
        <v>18</v>
      </c>
      <c r="B19" s="4">
        <v>44719</v>
      </c>
      <c r="C19" s="5">
        <v>44719</v>
      </c>
      <c r="D19">
        <v>1384</v>
      </c>
      <c r="E19" t="s">
        <v>95</v>
      </c>
      <c r="F19">
        <v>20676</v>
      </c>
      <c r="G19" t="s">
        <v>146</v>
      </c>
      <c r="H19" t="s">
        <v>53</v>
      </c>
      <c r="I19" t="s">
        <v>297</v>
      </c>
      <c r="J19" t="s">
        <v>296</v>
      </c>
      <c r="K19" t="s">
        <v>16</v>
      </c>
      <c r="L19" t="s">
        <v>17</v>
      </c>
      <c r="N19" s="1">
        <v>10</v>
      </c>
      <c r="O19" s="6">
        <v>3</v>
      </c>
      <c r="P19" s="7">
        <f t="shared" si="0"/>
        <v>30</v>
      </c>
      <c r="Q19">
        <v>2</v>
      </c>
      <c r="R19" s="4" t="s">
        <v>71</v>
      </c>
      <c r="S19" s="8">
        <v>0.06</v>
      </c>
      <c r="T19" s="7">
        <f t="shared" si="1"/>
        <v>28.2</v>
      </c>
    </row>
    <row r="20" spans="1:20" x14ac:dyDescent="0.3">
      <c r="A20">
        <v>19</v>
      </c>
      <c r="B20" s="4">
        <v>44719</v>
      </c>
      <c r="C20" s="5">
        <v>44719</v>
      </c>
      <c r="D20">
        <v>6892</v>
      </c>
      <c r="E20" t="s">
        <v>93</v>
      </c>
      <c r="F20">
        <v>22094</v>
      </c>
      <c r="G20" t="s">
        <v>147</v>
      </c>
      <c r="H20" t="s">
        <v>56</v>
      </c>
      <c r="I20" t="s">
        <v>297</v>
      </c>
      <c r="J20" t="s">
        <v>296</v>
      </c>
      <c r="K20" t="s">
        <v>12</v>
      </c>
      <c r="L20" t="s">
        <v>13</v>
      </c>
      <c r="N20" s="1">
        <v>9</v>
      </c>
      <c r="O20" s="6">
        <v>6</v>
      </c>
      <c r="P20" s="7">
        <f t="shared" si="0"/>
        <v>54</v>
      </c>
      <c r="Q20">
        <v>5</v>
      </c>
      <c r="R20" s="4" t="s">
        <v>69</v>
      </c>
      <c r="S20" s="8">
        <v>0.15</v>
      </c>
      <c r="T20" s="7">
        <f t="shared" si="1"/>
        <v>45.9</v>
      </c>
    </row>
    <row r="21" spans="1:20" x14ac:dyDescent="0.3">
      <c r="A21">
        <v>20</v>
      </c>
      <c r="B21" s="4">
        <v>44719</v>
      </c>
      <c r="C21" s="5">
        <v>44719</v>
      </c>
      <c r="D21">
        <v>4350</v>
      </c>
      <c r="E21" t="s">
        <v>100</v>
      </c>
      <c r="F21">
        <v>21339</v>
      </c>
      <c r="G21" t="s">
        <v>148</v>
      </c>
      <c r="H21" t="s">
        <v>54</v>
      </c>
      <c r="I21" t="s">
        <v>297</v>
      </c>
      <c r="J21" t="s">
        <v>296</v>
      </c>
      <c r="K21" t="s">
        <v>30</v>
      </c>
      <c r="L21" t="s">
        <v>31</v>
      </c>
      <c r="N21" s="1">
        <v>12</v>
      </c>
      <c r="O21" s="6">
        <v>8</v>
      </c>
      <c r="P21" s="7">
        <f t="shared" si="0"/>
        <v>96</v>
      </c>
      <c r="Q21">
        <v>4</v>
      </c>
      <c r="R21" s="4" t="s">
        <v>66</v>
      </c>
      <c r="S21" s="8">
        <v>0.1</v>
      </c>
      <c r="T21" s="7">
        <f t="shared" si="1"/>
        <v>86.4</v>
      </c>
    </row>
    <row r="22" spans="1:20" x14ac:dyDescent="0.3">
      <c r="A22">
        <v>21</v>
      </c>
      <c r="B22" s="4">
        <v>44719</v>
      </c>
      <c r="C22" s="5">
        <v>44719</v>
      </c>
      <c r="D22">
        <v>5400</v>
      </c>
      <c r="E22" t="s">
        <v>99</v>
      </c>
      <c r="F22">
        <v>18495</v>
      </c>
      <c r="G22" t="s">
        <v>149</v>
      </c>
      <c r="H22" t="s">
        <v>54</v>
      </c>
      <c r="I22" t="s">
        <v>297</v>
      </c>
      <c r="J22" t="s">
        <v>296</v>
      </c>
      <c r="K22" t="s">
        <v>7</v>
      </c>
      <c r="L22" t="s">
        <v>8</v>
      </c>
      <c r="N22" s="1">
        <v>5.95</v>
      </c>
      <c r="O22" s="6">
        <v>3</v>
      </c>
      <c r="P22" s="7">
        <f t="shared" si="0"/>
        <v>17.850000000000001</v>
      </c>
      <c r="Q22">
        <v>4</v>
      </c>
      <c r="R22" s="4" t="s">
        <v>66</v>
      </c>
      <c r="S22" s="8">
        <v>0.1</v>
      </c>
      <c r="T22" s="7">
        <f t="shared" si="1"/>
        <v>16.065000000000001</v>
      </c>
    </row>
    <row r="23" spans="1:20" x14ac:dyDescent="0.3">
      <c r="A23">
        <v>22</v>
      </c>
      <c r="B23" s="4">
        <v>44720</v>
      </c>
      <c r="C23" s="5">
        <v>44720</v>
      </c>
      <c r="D23">
        <v>6571</v>
      </c>
      <c r="E23" t="s">
        <v>96</v>
      </c>
      <c r="F23">
        <v>18542</v>
      </c>
      <c r="G23" t="s">
        <v>150</v>
      </c>
      <c r="H23" t="s">
        <v>60</v>
      </c>
      <c r="I23" t="s">
        <v>297</v>
      </c>
      <c r="J23" t="s">
        <v>296</v>
      </c>
      <c r="K23" t="s">
        <v>19</v>
      </c>
      <c r="L23" t="s">
        <v>20</v>
      </c>
      <c r="N23" s="1">
        <v>7.5</v>
      </c>
      <c r="O23" s="6">
        <v>5</v>
      </c>
      <c r="P23" s="7">
        <f t="shared" si="0"/>
        <v>37.5</v>
      </c>
      <c r="Q23">
        <v>0</v>
      </c>
      <c r="R23" s="4" t="s">
        <v>67</v>
      </c>
      <c r="S23" s="8">
        <v>0</v>
      </c>
      <c r="T23" s="7">
        <f t="shared" si="1"/>
        <v>37.5</v>
      </c>
    </row>
    <row r="24" spans="1:20" x14ac:dyDescent="0.3">
      <c r="A24">
        <v>23</v>
      </c>
      <c r="B24" s="4">
        <v>44720</v>
      </c>
      <c r="C24" s="5">
        <v>44720</v>
      </c>
      <c r="D24">
        <v>6357</v>
      </c>
      <c r="E24" t="s">
        <v>98</v>
      </c>
      <c r="F24">
        <v>18854</v>
      </c>
      <c r="G24" t="s">
        <v>151</v>
      </c>
      <c r="H24" t="s">
        <v>61</v>
      </c>
      <c r="I24" t="s">
        <v>297</v>
      </c>
      <c r="J24" t="s">
        <v>296</v>
      </c>
      <c r="K24" t="s">
        <v>19</v>
      </c>
      <c r="L24" t="s">
        <v>20</v>
      </c>
      <c r="N24" s="1">
        <v>7.5</v>
      </c>
      <c r="O24" s="6">
        <v>1</v>
      </c>
      <c r="P24" s="7">
        <f t="shared" si="0"/>
        <v>7.5</v>
      </c>
      <c r="Q24">
        <v>3</v>
      </c>
      <c r="R24" s="4" t="s">
        <v>68</v>
      </c>
      <c r="S24" s="8">
        <v>0.08</v>
      </c>
      <c r="T24" s="7">
        <f t="shared" si="1"/>
        <v>6.9</v>
      </c>
    </row>
    <row r="25" spans="1:20" x14ac:dyDescent="0.3">
      <c r="A25">
        <v>24</v>
      </c>
      <c r="B25" s="4">
        <v>44720</v>
      </c>
      <c r="C25" s="5">
        <v>44720</v>
      </c>
      <c r="D25">
        <v>6892</v>
      </c>
      <c r="E25" t="s">
        <v>93</v>
      </c>
      <c r="F25">
        <v>17441</v>
      </c>
      <c r="G25" t="s">
        <v>152</v>
      </c>
      <c r="H25" t="s">
        <v>56</v>
      </c>
      <c r="I25" t="s">
        <v>297</v>
      </c>
      <c r="J25" t="s">
        <v>296</v>
      </c>
      <c r="K25" t="s">
        <v>25</v>
      </c>
      <c r="L25" t="s">
        <v>26</v>
      </c>
      <c r="N25" s="1">
        <v>8</v>
      </c>
      <c r="O25" s="6">
        <v>5</v>
      </c>
      <c r="P25" s="7">
        <f t="shared" si="0"/>
        <v>40</v>
      </c>
      <c r="Q25">
        <v>3</v>
      </c>
      <c r="R25" s="4" t="s">
        <v>68</v>
      </c>
      <c r="S25" s="8">
        <v>0.08</v>
      </c>
      <c r="T25" s="7">
        <f t="shared" si="1"/>
        <v>36.799999999999997</v>
      </c>
    </row>
    <row r="26" spans="1:20" x14ac:dyDescent="0.3">
      <c r="A26">
        <v>25</v>
      </c>
      <c r="B26" s="4">
        <v>44721</v>
      </c>
      <c r="C26" s="5">
        <v>44721</v>
      </c>
      <c r="D26">
        <v>6464</v>
      </c>
      <c r="E26" t="s">
        <v>103</v>
      </c>
      <c r="F26">
        <v>23211</v>
      </c>
      <c r="G26" t="s">
        <v>153</v>
      </c>
      <c r="H26" t="s">
        <v>56</v>
      </c>
      <c r="I26" t="s">
        <v>297</v>
      </c>
      <c r="J26" t="s">
        <v>296</v>
      </c>
      <c r="K26" t="s">
        <v>32</v>
      </c>
      <c r="L26" t="s">
        <v>33</v>
      </c>
      <c r="N26" s="1">
        <v>12</v>
      </c>
      <c r="O26" s="6">
        <v>6</v>
      </c>
      <c r="P26" s="7">
        <f t="shared" si="0"/>
        <v>72</v>
      </c>
      <c r="Q26">
        <v>3</v>
      </c>
      <c r="R26" s="4" t="s">
        <v>68</v>
      </c>
      <c r="S26" s="8">
        <v>0.08</v>
      </c>
      <c r="T26" s="7">
        <f t="shared" si="1"/>
        <v>66.239999999999995</v>
      </c>
    </row>
    <row r="27" spans="1:20" x14ac:dyDescent="0.3">
      <c r="A27">
        <v>26</v>
      </c>
      <c r="B27" s="4">
        <v>44722</v>
      </c>
      <c r="C27" s="5">
        <v>44722</v>
      </c>
      <c r="D27">
        <v>6464</v>
      </c>
      <c r="E27" t="s">
        <v>103</v>
      </c>
      <c r="F27">
        <v>26500</v>
      </c>
      <c r="G27" t="s">
        <v>154</v>
      </c>
      <c r="H27" t="s">
        <v>50</v>
      </c>
      <c r="I27" t="s">
        <v>297</v>
      </c>
      <c r="J27" t="s">
        <v>296</v>
      </c>
      <c r="K27" t="s">
        <v>32</v>
      </c>
      <c r="L27" t="s">
        <v>33</v>
      </c>
      <c r="N27" s="1">
        <v>12</v>
      </c>
      <c r="O27" s="6">
        <v>8</v>
      </c>
      <c r="P27" s="7">
        <f t="shared" si="0"/>
        <v>96</v>
      </c>
      <c r="Q27">
        <v>4</v>
      </c>
      <c r="R27" s="4" t="s">
        <v>66</v>
      </c>
      <c r="S27" s="8">
        <v>0.1</v>
      </c>
      <c r="T27" s="7">
        <f t="shared" si="1"/>
        <v>86.4</v>
      </c>
    </row>
    <row r="28" spans="1:20" x14ac:dyDescent="0.3">
      <c r="A28">
        <v>27</v>
      </c>
      <c r="B28" s="4">
        <v>44722</v>
      </c>
      <c r="C28" s="5">
        <v>44722</v>
      </c>
      <c r="D28">
        <v>6892</v>
      </c>
      <c r="E28" t="s">
        <v>93</v>
      </c>
      <c r="F28">
        <v>27560</v>
      </c>
      <c r="G28" t="s">
        <v>155</v>
      </c>
      <c r="H28" t="s">
        <v>57</v>
      </c>
      <c r="I28" t="s">
        <v>297</v>
      </c>
      <c r="J28" t="s">
        <v>296</v>
      </c>
      <c r="K28" t="s">
        <v>12</v>
      </c>
      <c r="L28" t="s">
        <v>13</v>
      </c>
      <c r="N28" s="1">
        <v>9</v>
      </c>
      <c r="O28" s="6">
        <v>10</v>
      </c>
      <c r="P28" s="7">
        <f t="shared" si="0"/>
        <v>90</v>
      </c>
      <c r="Q28">
        <v>3</v>
      </c>
      <c r="R28" s="4" t="s">
        <v>68</v>
      </c>
      <c r="S28" s="8">
        <v>0.08</v>
      </c>
      <c r="T28" s="7">
        <f t="shared" si="1"/>
        <v>82.8</v>
      </c>
    </row>
    <row r="29" spans="1:20" x14ac:dyDescent="0.3">
      <c r="A29">
        <v>28</v>
      </c>
      <c r="B29" s="4">
        <v>44722</v>
      </c>
      <c r="C29" s="5">
        <v>44722</v>
      </c>
      <c r="D29">
        <v>6678</v>
      </c>
      <c r="E29" t="s">
        <v>102</v>
      </c>
      <c r="F29">
        <v>26564</v>
      </c>
      <c r="G29" t="s">
        <v>156</v>
      </c>
      <c r="H29" t="s">
        <v>58</v>
      </c>
      <c r="I29" t="s">
        <v>299</v>
      </c>
      <c r="J29" t="s">
        <v>296</v>
      </c>
      <c r="K29" t="s">
        <v>23</v>
      </c>
      <c r="L29" t="s">
        <v>24</v>
      </c>
      <c r="N29" s="1">
        <v>7.5</v>
      </c>
      <c r="O29" s="6">
        <v>7</v>
      </c>
      <c r="P29" s="7">
        <f t="shared" si="0"/>
        <v>52.5</v>
      </c>
      <c r="Q29">
        <v>5</v>
      </c>
      <c r="R29" s="4" t="s">
        <v>69</v>
      </c>
      <c r="S29" s="8">
        <v>0.15</v>
      </c>
      <c r="T29" s="7">
        <f t="shared" si="1"/>
        <v>44.625</v>
      </c>
    </row>
    <row r="30" spans="1:20" x14ac:dyDescent="0.3">
      <c r="A30">
        <v>29</v>
      </c>
      <c r="B30" s="4">
        <v>44722</v>
      </c>
      <c r="C30" s="5">
        <v>44722</v>
      </c>
      <c r="D30">
        <v>6678</v>
      </c>
      <c r="E30" t="s">
        <v>102</v>
      </c>
      <c r="F30">
        <v>21959</v>
      </c>
      <c r="G30" t="s">
        <v>157</v>
      </c>
      <c r="H30" t="s">
        <v>47</v>
      </c>
      <c r="I30" t="s">
        <v>297</v>
      </c>
      <c r="J30" t="s">
        <v>296</v>
      </c>
      <c r="K30" t="s">
        <v>19</v>
      </c>
      <c r="L30" t="s">
        <v>20</v>
      </c>
      <c r="N30" s="1">
        <v>7.5</v>
      </c>
      <c r="O30" s="6">
        <v>10</v>
      </c>
      <c r="P30" s="7">
        <f t="shared" si="0"/>
        <v>75</v>
      </c>
      <c r="Q30">
        <v>4</v>
      </c>
      <c r="R30" s="4" t="s">
        <v>66</v>
      </c>
      <c r="S30" s="8">
        <v>0.1</v>
      </c>
      <c r="T30" s="7">
        <f t="shared" si="1"/>
        <v>67.5</v>
      </c>
    </row>
    <row r="31" spans="1:20" x14ac:dyDescent="0.3">
      <c r="A31">
        <v>30</v>
      </c>
      <c r="B31" s="4">
        <v>44723</v>
      </c>
      <c r="C31" s="5">
        <v>44723</v>
      </c>
      <c r="D31">
        <v>8064</v>
      </c>
      <c r="E31" t="s">
        <v>90</v>
      </c>
      <c r="F31">
        <v>17338</v>
      </c>
      <c r="G31" t="s">
        <v>158</v>
      </c>
      <c r="H31" t="s">
        <v>54</v>
      </c>
      <c r="I31" t="s">
        <v>297</v>
      </c>
      <c r="J31" t="s">
        <v>296</v>
      </c>
      <c r="K31" t="s">
        <v>25</v>
      </c>
      <c r="L31" t="s">
        <v>26</v>
      </c>
      <c r="N31" s="1">
        <v>8</v>
      </c>
      <c r="O31" s="6">
        <v>2</v>
      </c>
      <c r="P31" s="7">
        <f t="shared" si="0"/>
        <v>16</v>
      </c>
      <c r="Q31">
        <v>0</v>
      </c>
      <c r="R31" s="4" t="s">
        <v>67</v>
      </c>
      <c r="S31" s="8">
        <v>0</v>
      </c>
      <c r="T31" s="7">
        <f t="shared" si="1"/>
        <v>16</v>
      </c>
    </row>
    <row r="32" spans="1:20" x14ac:dyDescent="0.3">
      <c r="A32">
        <v>31</v>
      </c>
      <c r="B32" s="4">
        <v>44723</v>
      </c>
      <c r="C32" s="5">
        <v>44723</v>
      </c>
      <c r="D32">
        <v>8064</v>
      </c>
      <c r="E32" t="s">
        <v>90</v>
      </c>
      <c r="F32">
        <v>11047</v>
      </c>
      <c r="G32" t="s">
        <v>159</v>
      </c>
      <c r="H32" t="s">
        <v>53</v>
      </c>
      <c r="I32" t="s">
        <v>297</v>
      </c>
      <c r="J32" t="s">
        <v>296</v>
      </c>
      <c r="K32" t="s">
        <v>25</v>
      </c>
      <c r="L32" t="s">
        <v>26</v>
      </c>
      <c r="N32" s="1">
        <v>8</v>
      </c>
      <c r="O32" s="6">
        <v>5</v>
      </c>
      <c r="P32" s="7">
        <f t="shared" si="0"/>
        <v>40</v>
      </c>
      <c r="Q32">
        <v>2</v>
      </c>
      <c r="R32" s="4" t="s">
        <v>71</v>
      </c>
      <c r="S32" s="8">
        <v>0.06</v>
      </c>
      <c r="T32" s="7">
        <f t="shared" si="1"/>
        <v>37.6</v>
      </c>
    </row>
    <row r="33" spans="1:20" x14ac:dyDescent="0.3">
      <c r="A33">
        <v>32</v>
      </c>
      <c r="B33" s="4">
        <v>44723</v>
      </c>
      <c r="C33" s="5">
        <v>44723</v>
      </c>
      <c r="D33">
        <v>6250</v>
      </c>
      <c r="E33" t="s">
        <v>94</v>
      </c>
      <c r="F33">
        <v>20051</v>
      </c>
      <c r="G33" t="s">
        <v>160</v>
      </c>
      <c r="H33" t="s">
        <v>48</v>
      </c>
      <c r="I33" t="s">
        <v>297</v>
      </c>
      <c r="J33" t="s">
        <v>296</v>
      </c>
      <c r="K33" t="s">
        <v>5</v>
      </c>
      <c r="L33" t="s">
        <v>6</v>
      </c>
      <c r="N33" s="1">
        <v>5.95</v>
      </c>
      <c r="O33" s="6">
        <v>3</v>
      </c>
      <c r="P33" s="7">
        <f t="shared" si="0"/>
        <v>17.850000000000001</v>
      </c>
      <c r="Q33">
        <v>5</v>
      </c>
      <c r="R33" s="4" t="s">
        <v>69</v>
      </c>
      <c r="S33" s="8">
        <v>0.15</v>
      </c>
      <c r="T33" s="7">
        <f t="shared" si="1"/>
        <v>15.172500000000001</v>
      </c>
    </row>
    <row r="34" spans="1:20" x14ac:dyDescent="0.3">
      <c r="A34">
        <v>33</v>
      </c>
      <c r="B34" s="4">
        <v>44724</v>
      </c>
      <c r="C34" s="5">
        <v>44724</v>
      </c>
      <c r="D34">
        <v>6143</v>
      </c>
      <c r="E34" t="s">
        <v>104</v>
      </c>
      <c r="F34">
        <v>21852</v>
      </c>
      <c r="G34" t="s">
        <v>161</v>
      </c>
      <c r="H34" t="s">
        <v>54</v>
      </c>
      <c r="I34" t="s">
        <v>297</v>
      </c>
      <c r="J34" t="s">
        <v>296</v>
      </c>
      <c r="K34" t="s">
        <v>7</v>
      </c>
      <c r="L34" t="s">
        <v>8</v>
      </c>
      <c r="N34" s="1">
        <v>5.95</v>
      </c>
      <c r="O34" s="6">
        <v>3</v>
      </c>
      <c r="P34" s="7">
        <f t="shared" si="0"/>
        <v>17.850000000000001</v>
      </c>
      <c r="Q34">
        <v>1</v>
      </c>
      <c r="R34" s="4" t="s">
        <v>70</v>
      </c>
      <c r="S34" s="8">
        <v>0.05</v>
      </c>
      <c r="T34" s="7">
        <f t="shared" si="1"/>
        <v>16.957500000000003</v>
      </c>
    </row>
    <row r="35" spans="1:20" x14ac:dyDescent="0.3">
      <c r="A35">
        <v>34</v>
      </c>
      <c r="B35" s="4">
        <v>44724</v>
      </c>
      <c r="C35" s="5">
        <v>44724</v>
      </c>
      <c r="D35">
        <v>5382</v>
      </c>
      <c r="E35" t="s">
        <v>92</v>
      </c>
      <c r="F35">
        <v>17038</v>
      </c>
      <c r="G35" t="s">
        <v>162</v>
      </c>
      <c r="H35" t="s">
        <v>47</v>
      </c>
      <c r="I35" t="s">
        <v>297</v>
      </c>
      <c r="J35" t="s">
        <v>296</v>
      </c>
      <c r="K35" t="s">
        <v>30</v>
      </c>
      <c r="L35" t="s">
        <v>31</v>
      </c>
      <c r="N35" s="1">
        <v>12</v>
      </c>
      <c r="O35" s="6">
        <v>3</v>
      </c>
      <c r="P35" s="7">
        <f t="shared" si="0"/>
        <v>36</v>
      </c>
      <c r="Q35">
        <v>0</v>
      </c>
      <c r="R35" s="4" t="s">
        <v>67</v>
      </c>
      <c r="S35" s="8">
        <v>0</v>
      </c>
      <c r="T35" s="7">
        <f t="shared" si="1"/>
        <v>36</v>
      </c>
    </row>
    <row r="36" spans="1:20" x14ac:dyDescent="0.3">
      <c r="A36">
        <v>35</v>
      </c>
      <c r="B36" s="4">
        <v>44725</v>
      </c>
      <c r="C36" s="5">
        <v>44725</v>
      </c>
      <c r="D36">
        <v>5382</v>
      </c>
      <c r="E36" t="s">
        <v>92</v>
      </c>
      <c r="F36">
        <v>25226</v>
      </c>
      <c r="G36" t="s">
        <v>163</v>
      </c>
      <c r="H36" t="s">
        <v>62</v>
      </c>
      <c r="I36" t="s">
        <v>297</v>
      </c>
      <c r="J36" t="s">
        <v>296</v>
      </c>
      <c r="K36" t="s">
        <v>7</v>
      </c>
      <c r="L36" t="s">
        <v>8</v>
      </c>
      <c r="N36" s="1">
        <v>5.95</v>
      </c>
      <c r="O36" s="6">
        <v>8</v>
      </c>
      <c r="P36" s="7">
        <f t="shared" si="0"/>
        <v>47.6</v>
      </c>
      <c r="Q36">
        <v>5</v>
      </c>
      <c r="R36" s="4" t="s">
        <v>69</v>
      </c>
      <c r="S36" s="8">
        <v>0.15</v>
      </c>
      <c r="T36" s="7">
        <f t="shared" si="1"/>
        <v>40.46</v>
      </c>
    </row>
    <row r="37" spans="1:20" x14ac:dyDescent="0.3">
      <c r="A37">
        <v>36</v>
      </c>
      <c r="B37" s="4">
        <v>44725</v>
      </c>
      <c r="C37" s="5">
        <v>44725</v>
      </c>
      <c r="D37">
        <v>6678</v>
      </c>
      <c r="E37" t="s">
        <v>102</v>
      </c>
      <c r="F37">
        <v>19904</v>
      </c>
      <c r="G37" t="s">
        <v>164</v>
      </c>
      <c r="H37" t="s">
        <v>55</v>
      </c>
      <c r="I37" t="s">
        <v>297</v>
      </c>
      <c r="J37" t="s">
        <v>296</v>
      </c>
      <c r="K37" t="s">
        <v>28</v>
      </c>
      <c r="L37" t="s">
        <v>29</v>
      </c>
      <c r="N37" s="1">
        <v>12</v>
      </c>
      <c r="O37" s="6">
        <v>3</v>
      </c>
      <c r="P37" s="7">
        <f t="shared" si="0"/>
        <v>36</v>
      </c>
      <c r="Q37">
        <v>5</v>
      </c>
      <c r="R37" s="4" t="s">
        <v>69</v>
      </c>
      <c r="S37" s="8">
        <v>0.15</v>
      </c>
      <c r="T37" s="7">
        <f t="shared" si="1"/>
        <v>30.6</v>
      </c>
    </row>
    <row r="38" spans="1:20" x14ac:dyDescent="0.3">
      <c r="A38">
        <v>37</v>
      </c>
      <c r="B38" s="4">
        <v>44725</v>
      </c>
      <c r="C38" s="5">
        <v>44725</v>
      </c>
      <c r="D38">
        <v>6250</v>
      </c>
      <c r="E38" t="s">
        <v>94</v>
      </c>
      <c r="F38">
        <v>10558</v>
      </c>
      <c r="G38" t="s">
        <v>165</v>
      </c>
      <c r="H38" t="s">
        <v>54</v>
      </c>
      <c r="I38" t="s">
        <v>297</v>
      </c>
      <c r="J38" t="s">
        <v>296</v>
      </c>
      <c r="K38" t="s">
        <v>5</v>
      </c>
      <c r="L38" t="s">
        <v>6</v>
      </c>
      <c r="N38" s="1">
        <v>5.95</v>
      </c>
      <c r="O38" s="6">
        <v>6</v>
      </c>
      <c r="P38" s="7">
        <f t="shared" si="0"/>
        <v>35.700000000000003</v>
      </c>
      <c r="Q38">
        <v>5</v>
      </c>
      <c r="R38" s="4" t="s">
        <v>69</v>
      </c>
      <c r="S38" s="8">
        <v>0.15</v>
      </c>
      <c r="T38" s="7">
        <f t="shared" si="1"/>
        <v>30.345000000000002</v>
      </c>
    </row>
    <row r="39" spans="1:20" x14ac:dyDescent="0.3">
      <c r="A39">
        <v>38</v>
      </c>
      <c r="B39" s="4">
        <v>44725</v>
      </c>
      <c r="C39" s="5">
        <v>44725</v>
      </c>
      <c r="D39">
        <v>5418</v>
      </c>
      <c r="E39" t="s">
        <v>97</v>
      </c>
      <c r="F39">
        <v>15288</v>
      </c>
      <c r="G39" t="s">
        <v>166</v>
      </c>
      <c r="H39" t="s">
        <v>53</v>
      </c>
      <c r="I39" t="s">
        <v>297</v>
      </c>
      <c r="J39" t="s">
        <v>296</v>
      </c>
      <c r="K39" t="s">
        <v>9</v>
      </c>
      <c r="L39" t="s">
        <v>10</v>
      </c>
      <c r="N39" s="1">
        <v>5.95</v>
      </c>
      <c r="O39" s="6">
        <v>5</v>
      </c>
      <c r="P39" s="7">
        <f t="shared" si="0"/>
        <v>29.75</v>
      </c>
      <c r="Q39">
        <v>4</v>
      </c>
      <c r="R39" s="4" t="s">
        <v>66</v>
      </c>
      <c r="S39" s="8">
        <v>0.1</v>
      </c>
      <c r="T39" s="7">
        <f t="shared" si="1"/>
        <v>26.774999999999999</v>
      </c>
    </row>
    <row r="40" spans="1:20" x14ac:dyDescent="0.3">
      <c r="A40">
        <v>39</v>
      </c>
      <c r="B40" s="4">
        <v>44725</v>
      </c>
      <c r="C40" s="5">
        <v>44725</v>
      </c>
      <c r="D40">
        <v>6250</v>
      </c>
      <c r="E40" t="s">
        <v>94</v>
      </c>
      <c r="F40">
        <v>12882</v>
      </c>
      <c r="G40" t="s">
        <v>167</v>
      </c>
      <c r="H40" t="s">
        <v>47</v>
      </c>
      <c r="I40" t="s">
        <v>297</v>
      </c>
      <c r="J40" t="s">
        <v>296</v>
      </c>
      <c r="K40" t="s">
        <v>30</v>
      </c>
      <c r="L40" t="s">
        <v>31</v>
      </c>
      <c r="N40" s="1">
        <v>12</v>
      </c>
      <c r="O40" s="6">
        <v>8</v>
      </c>
      <c r="P40" s="7">
        <f t="shared" si="0"/>
        <v>96</v>
      </c>
      <c r="Q40">
        <v>4</v>
      </c>
      <c r="R40" s="4" t="s">
        <v>66</v>
      </c>
      <c r="S40" s="8">
        <v>0.1</v>
      </c>
      <c r="T40" s="7">
        <f t="shared" si="1"/>
        <v>86.4</v>
      </c>
    </row>
    <row r="41" spans="1:20" x14ac:dyDescent="0.3">
      <c r="A41">
        <v>40</v>
      </c>
      <c r="B41" s="4">
        <v>44725</v>
      </c>
      <c r="C41" s="5">
        <v>44725</v>
      </c>
      <c r="D41">
        <v>6357</v>
      </c>
      <c r="E41" t="s">
        <v>98</v>
      </c>
      <c r="F41">
        <v>11124</v>
      </c>
      <c r="G41" t="s">
        <v>132</v>
      </c>
      <c r="H41" t="s">
        <v>57</v>
      </c>
      <c r="I41" t="s">
        <v>297</v>
      </c>
      <c r="J41" t="s">
        <v>296</v>
      </c>
      <c r="K41" t="s">
        <v>32</v>
      </c>
      <c r="L41" t="s">
        <v>33</v>
      </c>
      <c r="N41" s="1">
        <v>12</v>
      </c>
      <c r="O41" s="6">
        <v>3</v>
      </c>
      <c r="P41" s="7">
        <f t="shared" si="0"/>
        <v>36</v>
      </c>
      <c r="Q41">
        <v>5</v>
      </c>
      <c r="R41" s="4" t="s">
        <v>69</v>
      </c>
      <c r="S41" s="8">
        <v>0.15</v>
      </c>
      <c r="T41" s="7">
        <f t="shared" si="1"/>
        <v>30.6</v>
      </c>
    </row>
    <row r="42" spans="1:20" x14ac:dyDescent="0.3">
      <c r="A42">
        <v>41</v>
      </c>
      <c r="B42" s="4">
        <v>44726</v>
      </c>
      <c r="C42" s="5">
        <v>44726</v>
      </c>
      <c r="D42">
        <v>8064</v>
      </c>
      <c r="E42" t="s">
        <v>90</v>
      </c>
      <c r="F42">
        <v>20177</v>
      </c>
      <c r="G42" t="s">
        <v>168</v>
      </c>
      <c r="H42" t="s">
        <v>54</v>
      </c>
      <c r="I42" t="s">
        <v>297</v>
      </c>
      <c r="J42" t="s">
        <v>296</v>
      </c>
      <c r="K42" t="s">
        <v>25</v>
      </c>
      <c r="L42" t="s">
        <v>26</v>
      </c>
      <c r="N42" s="1">
        <v>8</v>
      </c>
      <c r="O42" s="6">
        <v>2</v>
      </c>
      <c r="P42" s="7">
        <f t="shared" si="0"/>
        <v>16</v>
      </c>
      <c r="Q42">
        <v>0</v>
      </c>
      <c r="R42" s="4" t="s">
        <v>67</v>
      </c>
      <c r="S42" s="8">
        <v>0</v>
      </c>
      <c r="T42" s="7">
        <f t="shared" si="1"/>
        <v>16</v>
      </c>
    </row>
    <row r="43" spans="1:20" x14ac:dyDescent="0.3">
      <c r="A43">
        <v>42</v>
      </c>
      <c r="B43" s="4">
        <v>44727</v>
      </c>
      <c r="C43" s="5">
        <v>44727</v>
      </c>
      <c r="D43">
        <v>8064</v>
      </c>
      <c r="E43" t="s">
        <v>90</v>
      </c>
      <c r="F43">
        <v>27995</v>
      </c>
      <c r="G43" t="s">
        <v>169</v>
      </c>
      <c r="H43" t="s">
        <v>57</v>
      </c>
      <c r="I43" t="s">
        <v>297</v>
      </c>
      <c r="J43" t="s">
        <v>296</v>
      </c>
      <c r="K43" t="s">
        <v>5</v>
      </c>
      <c r="L43" t="s">
        <v>6</v>
      </c>
      <c r="N43" s="1">
        <v>5.95</v>
      </c>
      <c r="O43" s="6">
        <v>9</v>
      </c>
      <c r="P43" s="7">
        <f t="shared" si="0"/>
        <v>53.550000000000004</v>
      </c>
      <c r="Q43">
        <v>5</v>
      </c>
      <c r="R43" s="4" t="s">
        <v>69</v>
      </c>
      <c r="S43" s="8">
        <v>0.15</v>
      </c>
      <c r="T43" s="7">
        <f t="shared" si="1"/>
        <v>45.517500000000005</v>
      </c>
    </row>
    <row r="44" spans="1:20" x14ac:dyDescent="0.3">
      <c r="A44">
        <v>43</v>
      </c>
      <c r="B44" s="4">
        <v>44728</v>
      </c>
      <c r="C44" s="5">
        <v>44728</v>
      </c>
      <c r="D44">
        <v>6464</v>
      </c>
      <c r="E44" t="s">
        <v>103</v>
      </c>
      <c r="F44">
        <v>18679</v>
      </c>
      <c r="G44" t="s">
        <v>170</v>
      </c>
      <c r="H44" t="s">
        <v>63</v>
      </c>
      <c r="I44" t="s">
        <v>297</v>
      </c>
      <c r="J44" t="s">
        <v>296</v>
      </c>
      <c r="K44" t="s">
        <v>30</v>
      </c>
      <c r="L44" t="s">
        <v>31</v>
      </c>
      <c r="N44" s="1">
        <v>12</v>
      </c>
      <c r="O44" s="6">
        <v>4</v>
      </c>
      <c r="P44" s="7">
        <f t="shared" si="0"/>
        <v>48</v>
      </c>
      <c r="Q44">
        <v>2</v>
      </c>
      <c r="R44" s="4" t="s">
        <v>71</v>
      </c>
      <c r="S44" s="8">
        <v>0.06</v>
      </c>
      <c r="T44" s="7">
        <f t="shared" si="1"/>
        <v>45.12</v>
      </c>
    </row>
    <row r="45" spans="1:20" x14ac:dyDescent="0.3">
      <c r="A45">
        <v>44</v>
      </c>
      <c r="B45" s="4">
        <v>44728</v>
      </c>
      <c r="C45" s="5">
        <v>44728</v>
      </c>
      <c r="D45">
        <v>6678</v>
      </c>
      <c r="E45" t="s">
        <v>102</v>
      </c>
      <c r="F45">
        <v>18436</v>
      </c>
      <c r="G45" t="s">
        <v>171</v>
      </c>
      <c r="H45" t="s">
        <v>52</v>
      </c>
      <c r="I45" t="s">
        <v>297</v>
      </c>
      <c r="J45" t="s">
        <v>296</v>
      </c>
      <c r="K45" t="s">
        <v>5</v>
      </c>
      <c r="L45" t="s">
        <v>6</v>
      </c>
      <c r="N45" s="1">
        <v>5.95</v>
      </c>
      <c r="O45" s="6">
        <v>2</v>
      </c>
      <c r="P45" s="7">
        <f t="shared" si="0"/>
        <v>11.9</v>
      </c>
      <c r="Q45">
        <v>1</v>
      </c>
      <c r="R45" s="4" t="s">
        <v>70</v>
      </c>
      <c r="S45" s="8">
        <v>0.05</v>
      </c>
      <c r="T45" s="7">
        <f t="shared" si="1"/>
        <v>11.305</v>
      </c>
    </row>
    <row r="46" spans="1:20" x14ac:dyDescent="0.3">
      <c r="A46">
        <v>45</v>
      </c>
      <c r="B46" s="4">
        <v>44730</v>
      </c>
      <c r="C46" s="5">
        <v>44730</v>
      </c>
      <c r="D46">
        <v>5346</v>
      </c>
      <c r="E46" t="s">
        <v>101</v>
      </c>
      <c r="F46">
        <v>19375</v>
      </c>
      <c r="G46" t="s">
        <v>172</v>
      </c>
      <c r="H46" t="s">
        <v>56</v>
      </c>
      <c r="I46" t="s">
        <v>297</v>
      </c>
      <c r="J46" t="s">
        <v>296</v>
      </c>
      <c r="K46" t="s">
        <v>32</v>
      </c>
      <c r="L46" t="s">
        <v>33</v>
      </c>
      <c r="N46" s="1">
        <v>12</v>
      </c>
      <c r="O46" s="6">
        <v>9</v>
      </c>
      <c r="P46" s="7">
        <f t="shared" si="0"/>
        <v>108</v>
      </c>
      <c r="Q46">
        <v>3</v>
      </c>
      <c r="R46" s="4" t="s">
        <v>68</v>
      </c>
      <c r="S46" s="8">
        <v>0.08</v>
      </c>
      <c r="T46" s="7">
        <f t="shared" si="1"/>
        <v>99.36</v>
      </c>
    </row>
    <row r="47" spans="1:20" x14ac:dyDescent="0.3">
      <c r="A47">
        <v>46</v>
      </c>
      <c r="B47" s="4">
        <v>44730</v>
      </c>
      <c r="C47" s="5">
        <v>44730</v>
      </c>
      <c r="D47">
        <v>8064</v>
      </c>
      <c r="E47" t="s">
        <v>90</v>
      </c>
      <c r="F47">
        <v>22015</v>
      </c>
      <c r="G47" t="s">
        <v>173</v>
      </c>
      <c r="H47" t="s">
        <v>51</v>
      </c>
      <c r="I47" t="s">
        <v>298</v>
      </c>
      <c r="J47" t="s">
        <v>296</v>
      </c>
      <c r="K47" t="s">
        <v>5</v>
      </c>
      <c r="L47" t="s">
        <v>6</v>
      </c>
      <c r="N47" s="1">
        <v>5.95</v>
      </c>
      <c r="O47" s="6">
        <v>6</v>
      </c>
      <c r="P47" s="7">
        <f t="shared" si="0"/>
        <v>35.700000000000003</v>
      </c>
      <c r="Q47">
        <v>2</v>
      </c>
      <c r="R47" s="4" t="s">
        <v>71</v>
      </c>
      <c r="S47" s="8">
        <v>0.06</v>
      </c>
      <c r="T47" s="7">
        <f t="shared" si="1"/>
        <v>33.558</v>
      </c>
    </row>
    <row r="48" spans="1:20" x14ac:dyDescent="0.3">
      <c r="A48">
        <v>47</v>
      </c>
      <c r="B48" s="4">
        <v>44732</v>
      </c>
      <c r="C48" s="5">
        <v>44732</v>
      </c>
      <c r="D48">
        <v>6571</v>
      </c>
      <c r="E48" t="s">
        <v>96</v>
      </c>
      <c r="F48">
        <v>28732</v>
      </c>
      <c r="G48" t="s">
        <v>174</v>
      </c>
      <c r="H48" t="s">
        <v>60</v>
      </c>
      <c r="I48" t="s">
        <v>297</v>
      </c>
      <c r="J48" t="s">
        <v>296</v>
      </c>
      <c r="K48" t="s">
        <v>30</v>
      </c>
      <c r="L48" t="s">
        <v>31</v>
      </c>
      <c r="N48" s="1">
        <v>12</v>
      </c>
      <c r="O48" s="6">
        <v>3</v>
      </c>
      <c r="P48" s="7">
        <f t="shared" si="0"/>
        <v>36</v>
      </c>
      <c r="Q48">
        <v>2</v>
      </c>
      <c r="R48" s="4" t="s">
        <v>71</v>
      </c>
      <c r="S48" s="8">
        <v>0.06</v>
      </c>
      <c r="T48" s="7">
        <f t="shared" si="1"/>
        <v>33.840000000000003</v>
      </c>
    </row>
    <row r="49" spans="1:20" x14ac:dyDescent="0.3">
      <c r="A49">
        <v>48</v>
      </c>
      <c r="B49" s="4">
        <v>44732</v>
      </c>
      <c r="C49" s="5">
        <v>44732</v>
      </c>
      <c r="D49">
        <v>6464</v>
      </c>
      <c r="E49" t="s">
        <v>103</v>
      </c>
      <c r="F49">
        <v>18679</v>
      </c>
      <c r="G49" t="s">
        <v>170</v>
      </c>
      <c r="H49" t="s">
        <v>63</v>
      </c>
      <c r="I49" t="s">
        <v>297</v>
      </c>
      <c r="J49" t="s">
        <v>296</v>
      </c>
      <c r="K49" t="s">
        <v>32</v>
      </c>
      <c r="L49" t="s">
        <v>33</v>
      </c>
      <c r="N49" s="1">
        <v>12</v>
      </c>
      <c r="O49" s="6">
        <v>2</v>
      </c>
      <c r="P49" s="7">
        <f t="shared" si="0"/>
        <v>24</v>
      </c>
      <c r="Q49">
        <v>1</v>
      </c>
      <c r="R49" s="4" t="s">
        <v>70</v>
      </c>
      <c r="S49" s="8">
        <v>0.05</v>
      </c>
      <c r="T49" s="7">
        <f t="shared" si="1"/>
        <v>22.8</v>
      </c>
    </row>
    <row r="50" spans="1:20" x14ac:dyDescent="0.3">
      <c r="A50">
        <v>49</v>
      </c>
      <c r="B50" s="4">
        <v>44733</v>
      </c>
      <c r="C50" s="5">
        <v>44733</v>
      </c>
      <c r="D50">
        <v>8064</v>
      </c>
      <c r="E50" t="s">
        <v>90</v>
      </c>
      <c r="F50">
        <v>24924</v>
      </c>
      <c r="G50" t="s">
        <v>175</v>
      </c>
      <c r="H50" t="s">
        <v>53</v>
      </c>
      <c r="I50" t="s">
        <v>297</v>
      </c>
      <c r="J50" t="s">
        <v>296</v>
      </c>
      <c r="K50" t="s">
        <v>19</v>
      </c>
      <c r="L50" t="s">
        <v>20</v>
      </c>
      <c r="N50" s="1">
        <v>7.5</v>
      </c>
      <c r="O50" s="6">
        <v>4</v>
      </c>
      <c r="P50" s="7">
        <f t="shared" si="0"/>
        <v>30</v>
      </c>
      <c r="Q50">
        <v>5</v>
      </c>
      <c r="R50" s="4" t="s">
        <v>69</v>
      </c>
      <c r="S50" s="8">
        <v>0.15</v>
      </c>
      <c r="T50" s="7">
        <f t="shared" si="1"/>
        <v>25.5</v>
      </c>
    </row>
    <row r="51" spans="1:20" x14ac:dyDescent="0.3">
      <c r="A51">
        <v>50</v>
      </c>
      <c r="B51" s="4">
        <v>44733</v>
      </c>
      <c r="C51" s="5">
        <v>44733</v>
      </c>
      <c r="D51">
        <v>6143</v>
      </c>
      <c r="E51" t="s">
        <v>104</v>
      </c>
      <c r="F51">
        <v>22713</v>
      </c>
      <c r="G51" t="s">
        <v>133</v>
      </c>
      <c r="H51" t="s">
        <v>58</v>
      </c>
      <c r="I51" t="s">
        <v>299</v>
      </c>
      <c r="J51" t="s">
        <v>296</v>
      </c>
      <c r="K51" t="s">
        <v>25</v>
      </c>
      <c r="L51" t="s">
        <v>26</v>
      </c>
      <c r="N51" s="1">
        <v>8</v>
      </c>
      <c r="O51" s="6">
        <v>8</v>
      </c>
      <c r="P51" s="7">
        <f t="shared" si="0"/>
        <v>64</v>
      </c>
      <c r="Q51">
        <v>0</v>
      </c>
      <c r="R51" s="4" t="s">
        <v>67</v>
      </c>
      <c r="S51" s="8">
        <v>0</v>
      </c>
      <c r="T51" s="7">
        <f t="shared" si="1"/>
        <v>64</v>
      </c>
    </row>
    <row r="52" spans="1:20" x14ac:dyDescent="0.3">
      <c r="A52">
        <v>51</v>
      </c>
      <c r="B52" s="4">
        <v>44733</v>
      </c>
      <c r="C52" s="5">
        <v>44733</v>
      </c>
      <c r="D52">
        <v>6250</v>
      </c>
      <c r="E52" t="s">
        <v>94</v>
      </c>
      <c r="F52">
        <v>18542</v>
      </c>
      <c r="G52" t="s">
        <v>150</v>
      </c>
      <c r="H52" t="s">
        <v>60</v>
      </c>
      <c r="I52" t="s">
        <v>297</v>
      </c>
      <c r="J52" t="s">
        <v>296</v>
      </c>
      <c r="K52" t="s">
        <v>21</v>
      </c>
      <c r="L52" t="s">
        <v>22</v>
      </c>
      <c r="N52" s="1">
        <v>7.5</v>
      </c>
      <c r="O52" s="6">
        <v>7</v>
      </c>
      <c r="P52" s="7">
        <f t="shared" si="0"/>
        <v>52.5</v>
      </c>
      <c r="Q52">
        <v>0</v>
      </c>
      <c r="R52" s="4" t="s">
        <v>67</v>
      </c>
      <c r="S52" s="8">
        <v>0</v>
      </c>
      <c r="T52" s="7">
        <f t="shared" si="1"/>
        <v>52.5</v>
      </c>
    </row>
    <row r="53" spans="1:20" x14ac:dyDescent="0.3">
      <c r="A53">
        <v>52</v>
      </c>
      <c r="B53" s="4">
        <v>44733</v>
      </c>
      <c r="C53" s="5">
        <v>44733</v>
      </c>
      <c r="D53">
        <v>8064</v>
      </c>
      <c r="E53" t="s">
        <v>90</v>
      </c>
      <c r="F53">
        <v>22645</v>
      </c>
      <c r="G53" t="s">
        <v>176</v>
      </c>
      <c r="H53" t="s">
        <v>54</v>
      </c>
      <c r="I53" t="s">
        <v>297</v>
      </c>
      <c r="J53" t="s">
        <v>296</v>
      </c>
      <c r="K53" t="s">
        <v>23</v>
      </c>
      <c r="L53" t="s">
        <v>24</v>
      </c>
      <c r="N53" s="1">
        <v>7.5</v>
      </c>
      <c r="O53" s="6">
        <v>4</v>
      </c>
      <c r="P53" s="7">
        <f t="shared" si="0"/>
        <v>30</v>
      </c>
      <c r="Q53">
        <v>2</v>
      </c>
      <c r="R53" s="4" t="s">
        <v>71</v>
      </c>
      <c r="S53" s="8">
        <v>0.06</v>
      </c>
      <c r="T53" s="7">
        <f t="shared" si="1"/>
        <v>28.2</v>
      </c>
    </row>
    <row r="54" spans="1:20" x14ac:dyDescent="0.3">
      <c r="A54">
        <v>53</v>
      </c>
      <c r="B54" s="4">
        <v>44733</v>
      </c>
      <c r="C54" s="5">
        <v>44733</v>
      </c>
      <c r="D54">
        <v>5454</v>
      </c>
      <c r="E54" t="s">
        <v>91</v>
      </c>
      <c r="F54">
        <v>21293</v>
      </c>
      <c r="G54" t="s">
        <v>177</v>
      </c>
      <c r="H54" t="s">
        <v>48</v>
      </c>
      <c r="I54" t="s">
        <v>297</v>
      </c>
      <c r="J54" t="s">
        <v>296</v>
      </c>
      <c r="K54" t="s">
        <v>5</v>
      </c>
      <c r="L54" t="s">
        <v>6</v>
      </c>
      <c r="N54" s="1">
        <v>5.95</v>
      </c>
      <c r="O54" s="6">
        <v>10</v>
      </c>
      <c r="P54" s="7">
        <f t="shared" si="0"/>
        <v>59.5</v>
      </c>
      <c r="Q54">
        <v>2</v>
      </c>
      <c r="R54" s="4" t="s">
        <v>71</v>
      </c>
      <c r="S54" s="8">
        <v>0.06</v>
      </c>
      <c r="T54" s="7">
        <f t="shared" si="1"/>
        <v>55.93</v>
      </c>
    </row>
    <row r="55" spans="1:20" x14ac:dyDescent="0.3">
      <c r="A55">
        <v>54</v>
      </c>
      <c r="B55" s="4">
        <v>44734</v>
      </c>
      <c r="C55" s="5">
        <v>44734</v>
      </c>
      <c r="D55">
        <v>6892</v>
      </c>
      <c r="E55" t="s">
        <v>93</v>
      </c>
      <c r="F55">
        <v>21785</v>
      </c>
      <c r="G55" t="s">
        <v>178</v>
      </c>
      <c r="H55" t="s">
        <v>54</v>
      </c>
      <c r="I55" t="s">
        <v>297</v>
      </c>
      <c r="J55" t="s">
        <v>296</v>
      </c>
      <c r="K55" t="s">
        <v>12</v>
      </c>
      <c r="L55" t="s">
        <v>13</v>
      </c>
      <c r="N55" s="1">
        <v>9</v>
      </c>
      <c r="O55" s="6">
        <v>6</v>
      </c>
      <c r="P55" s="7">
        <f t="shared" si="0"/>
        <v>54</v>
      </c>
      <c r="Q55">
        <v>5</v>
      </c>
      <c r="R55" s="4" t="s">
        <v>69</v>
      </c>
      <c r="S55" s="8">
        <v>0.15</v>
      </c>
      <c r="T55" s="7">
        <f t="shared" si="1"/>
        <v>45.9</v>
      </c>
    </row>
    <row r="56" spans="1:20" x14ac:dyDescent="0.3">
      <c r="A56">
        <v>55</v>
      </c>
      <c r="B56" s="4">
        <v>44734</v>
      </c>
      <c r="C56" s="5">
        <v>44734</v>
      </c>
      <c r="D56">
        <v>8064</v>
      </c>
      <c r="E56" t="s">
        <v>90</v>
      </c>
      <c r="F56">
        <v>22911</v>
      </c>
      <c r="G56" t="s">
        <v>179</v>
      </c>
      <c r="H56" t="s">
        <v>63</v>
      </c>
      <c r="I56" t="s">
        <v>297</v>
      </c>
      <c r="J56" t="s">
        <v>296</v>
      </c>
      <c r="K56" t="s">
        <v>7</v>
      </c>
      <c r="L56" t="s">
        <v>8</v>
      </c>
      <c r="N56" s="1">
        <v>5.95</v>
      </c>
      <c r="O56" s="6">
        <v>5</v>
      </c>
      <c r="P56" s="7">
        <f t="shared" si="0"/>
        <v>29.75</v>
      </c>
      <c r="Q56">
        <v>0</v>
      </c>
      <c r="R56" s="4" t="s">
        <v>67</v>
      </c>
      <c r="S56" s="8">
        <v>0</v>
      </c>
      <c r="T56" s="7">
        <f t="shared" si="1"/>
        <v>29.75</v>
      </c>
    </row>
    <row r="57" spans="1:20" x14ac:dyDescent="0.3">
      <c r="A57">
        <v>56</v>
      </c>
      <c r="B57" s="4">
        <v>44734</v>
      </c>
      <c r="C57" s="5">
        <v>44734</v>
      </c>
      <c r="D57">
        <v>5454</v>
      </c>
      <c r="E57" t="s">
        <v>91</v>
      </c>
      <c r="F57">
        <v>22611</v>
      </c>
      <c r="G57" t="s">
        <v>180</v>
      </c>
      <c r="H57" t="s">
        <v>55</v>
      </c>
      <c r="I57" t="s">
        <v>297</v>
      </c>
      <c r="J57" t="s">
        <v>296</v>
      </c>
      <c r="K57" t="s">
        <v>16</v>
      </c>
      <c r="L57" t="s">
        <v>17</v>
      </c>
      <c r="N57" s="1">
        <v>10</v>
      </c>
      <c r="O57" s="6">
        <v>4</v>
      </c>
      <c r="P57" s="7">
        <f t="shared" si="0"/>
        <v>40</v>
      </c>
      <c r="Q57">
        <v>1</v>
      </c>
      <c r="R57" s="4" t="s">
        <v>70</v>
      </c>
      <c r="S57" s="8">
        <v>0.05</v>
      </c>
      <c r="T57" s="7">
        <f t="shared" si="1"/>
        <v>38</v>
      </c>
    </row>
    <row r="58" spans="1:20" x14ac:dyDescent="0.3">
      <c r="A58">
        <v>57</v>
      </c>
      <c r="B58" s="4">
        <v>44734</v>
      </c>
      <c r="C58" s="5">
        <v>44734</v>
      </c>
      <c r="D58">
        <v>6892</v>
      </c>
      <c r="E58" t="s">
        <v>93</v>
      </c>
      <c r="F58">
        <v>24142</v>
      </c>
      <c r="G58" t="s">
        <v>181</v>
      </c>
      <c r="H58" t="s">
        <v>47</v>
      </c>
      <c r="I58" t="s">
        <v>297</v>
      </c>
      <c r="J58" t="s">
        <v>296</v>
      </c>
      <c r="K58" t="s">
        <v>9</v>
      </c>
      <c r="L58" t="s">
        <v>10</v>
      </c>
      <c r="N58" s="1">
        <v>5.95</v>
      </c>
      <c r="O58" s="6">
        <v>4</v>
      </c>
      <c r="P58" s="7">
        <f t="shared" si="0"/>
        <v>23.8</v>
      </c>
      <c r="Q58">
        <v>2</v>
      </c>
      <c r="R58" s="4" t="s">
        <v>71</v>
      </c>
      <c r="S58" s="8">
        <v>0.06</v>
      </c>
      <c r="T58" s="7">
        <f t="shared" si="1"/>
        <v>22.372</v>
      </c>
    </row>
    <row r="59" spans="1:20" x14ac:dyDescent="0.3">
      <c r="A59">
        <v>58</v>
      </c>
      <c r="B59" s="4">
        <v>44734</v>
      </c>
      <c r="C59" s="5">
        <v>44734</v>
      </c>
      <c r="D59">
        <v>8064</v>
      </c>
      <c r="E59" t="s">
        <v>90</v>
      </c>
      <c r="F59">
        <v>25355</v>
      </c>
      <c r="G59" t="s">
        <v>182</v>
      </c>
      <c r="H59" t="s">
        <v>55</v>
      </c>
      <c r="I59" t="s">
        <v>297</v>
      </c>
      <c r="J59" t="s">
        <v>296</v>
      </c>
      <c r="K59" t="s">
        <v>28</v>
      </c>
      <c r="L59" t="s">
        <v>29</v>
      </c>
      <c r="N59" s="1">
        <v>12</v>
      </c>
      <c r="O59" s="6">
        <v>8</v>
      </c>
      <c r="P59" s="7">
        <f t="shared" si="0"/>
        <v>96</v>
      </c>
      <c r="Q59">
        <v>0</v>
      </c>
      <c r="R59" s="4" t="s">
        <v>67</v>
      </c>
      <c r="S59" s="8">
        <v>0</v>
      </c>
      <c r="T59" s="7">
        <f t="shared" si="1"/>
        <v>96</v>
      </c>
    </row>
    <row r="60" spans="1:20" x14ac:dyDescent="0.3">
      <c r="A60">
        <v>59</v>
      </c>
      <c r="B60" s="4">
        <v>44734</v>
      </c>
      <c r="C60" s="5">
        <v>44734</v>
      </c>
      <c r="D60">
        <v>5400</v>
      </c>
      <c r="E60" t="s">
        <v>99</v>
      </c>
      <c r="F60">
        <v>26269</v>
      </c>
      <c r="G60" t="s">
        <v>183</v>
      </c>
      <c r="H60" t="s">
        <v>62</v>
      </c>
      <c r="I60" t="s">
        <v>297</v>
      </c>
      <c r="J60" t="s">
        <v>296</v>
      </c>
      <c r="K60" t="s">
        <v>21</v>
      </c>
      <c r="L60" t="s">
        <v>22</v>
      </c>
      <c r="N60" s="1">
        <v>7.5</v>
      </c>
      <c r="O60" s="6">
        <v>9</v>
      </c>
      <c r="P60" s="7">
        <f t="shared" si="0"/>
        <v>67.5</v>
      </c>
      <c r="Q60">
        <v>4</v>
      </c>
      <c r="R60" s="4" t="s">
        <v>66</v>
      </c>
      <c r="S60" s="8">
        <v>0.1</v>
      </c>
      <c r="T60" s="7">
        <f t="shared" si="1"/>
        <v>60.75</v>
      </c>
    </row>
    <row r="61" spans="1:20" x14ac:dyDescent="0.3">
      <c r="A61">
        <v>60</v>
      </c>
      <c r="B61" s="4">
        <v>44735</v>
      </c>
      <c r="C61" s="5">
        <v>44735</v>
      </c>
      <c r="D61">
        <v>8064</v>
      </c>
      <c r="E61" t="s">
        <v>90</v>
      </c>
      <c r="F61">
        <v>23455</v>
      </c>
      <c r="G61" t="s">
        <v>184</v>
      </c>
      <c r="H61" t="s">
        <v>58</v>
      </c>
      <c r="I61" t="s">
        <v>299</v>
      </c>
      <c r="J61" t="s">
        <v>296</v>
      </c>
      <c r="K61" t="s">
        <v>5</v>
      </c>
      <c r="L61" t="s">
        <v>6</v>
      </c>
      <c r="N61" s="1">
        <v>5.95</v>
      </c>
      <c r="O61" s="6">
        <v>1</v>
      </c>
      <c r="P61" s="7">
        <f t="shared" si="0"/>
        <v>5.95</v>
      </c>
      <c r="Q61">
        <v>0</v>
      </c>
      <c r="R61" s="4" t="s">
        <v>67</v>
      </c>
      <c r="S61" s="8">
        <v>0</v>
      </c>
      <c r="T61" s="7">
        <f t="shared" si="1"/>
        <v>5.95</v>
      </c>
    </row>
    <row r="62" spans="1:20" x14ac:dyDescent="0.3">
      <c r="A62">
        <v>61</v>
      </c>
      <c r="B62" s="4">
        <v>44735</v>
      </c>
      <c r="C62" s="5">
        <v>44735</v>
      </c>
      <c r="D62">
        <v>6678</v>
      </c>
      <c r="E62" t="s">
        <v>102</v>
      </c>
      <c r="F62">
        <v>13014</v>
      </c>
      <c r="G62" t="s">
        <v>185</v>
      </c>
      <c r="H62" t="s">
        <v>56</v>
      </c>
      <c r="I62" t="s">
        <v>297</v>
      </c>
      <c r="J62" t="s">
        <v>296</v>
      </c>
      <c r="K62" t="s">
        <v>25</v>
      </c>
      <c r="L62" t="s">
        <v>26</v>
      </c>
      <c r="N62" s="1">
        <v>8</v>
      </c>
      <c r="O62" s="6">
        <v>8</v>
      </c>
      <c r="P62" s="7">
        <f t="shared" si="0"/>
        <v>64</v>
      </c>
      <c r="Q62">
        <v>5</v>
      </c>
      <c r="R62" s="4" t="s">
        <v>69</v>
      </c>
      <c r="S62" s="8">
        <v>0.15</v>
      </c>
      <c r="T62" s="7">
        <f t="shared" si="1"/>
        <v>54.4</v>
      </c>
    </row>
    <row r="63" spans="1:20" x14ac:dyDescent="0.3">
      <c r="A63">
        <v>62</v>
      </c>
      <c r="B63" s="4">
        <v>44736</v>
      </c>
      <c r="C63" s="5">
        <v>44736</v>
      </c>
      <c r="D63">
        <v>5454</v>
      </c>
      <c r="E63" t="s">
        <v>91</v>
      </c>
      <c r="F63">
        <v>11347</v>
      </c>
      <c r="G63" t="s">
        <v>186</v>
      </c>
      <c r="H63" t="s">
        <v>50</v>
      </c>
      <c r="I63" t="s">
        <v>297</v>
      </c>
      <c r="J63" t="s">
        <v>296</v>
      </c>
      <c r="K63" t="s">
        <v>23</v>
      </c>
      <c r="L63" t="s">
        <v>24</v>
      </c>
      <c r="N63" s="1">
        <v>7.5</v>
      </c>
      <c r="O63" s="6">
        <v>1</v>
      </c>
      <c r="P63" s="7">
        <f t="shared" si="0"/>
        <v>7.5</v>
      </c>
      <c r="Q63">
        <v>0</v>
      </c>
      <c r="R63" s="4" t="s">
        <v>67</v>
      </c>
      <c r="S63" s="8">
        <v>0</v>
      </c>
      <c r="T63" s="7">
        <f t="shared" si="1"/>
        <v>7.5</v>
      </c>
    </row>
    <row r="64" spans="1:20" x14ac:dyDescent="0.3">
      <c r="A64">
        <v>63</v>
      </c>
      <c r="B64" s="4">
        <v>44737</v>
      </c>
      <c r="C64" s="5">
        <v>44737</v>
      </c>
      <c r="D64">
        <v>1384</v>
      </c>
      <c r="E64" t="s">
        <v>95</v>
      </c>
      <c r="F64">
        <v>17252</v>
      </c>
      <c r="G64" t="s">
        <v>187</v>
      </c>
      <c r="H64" t="s">
        <v>60</v>
      </c>
      <c r="I64" t="s">
        <v>297</v>
      </c>
      <c r="J64" t="s">
        <v>296</v>
      </c>
      <c r="K64" t="s">
        <v>12</v>
      </c>
      <c r="L64" t="s">
        <v>13</v>
      </c>
      <c r="N64" s="1">
        <v>9</v>
      </c>
      <c r="O64" s="6">
        <v>5</v>
      </c>
      <c r="P64" s="7">
        <f t="shared" si="0"/>
        <v>45</v>
      </c>
      <c r="Q64">
        <v>1</v>
      </c>
      <c r="R64" s="4" t="s">
        <v>70</v>
      </c>
      <c r="S64" s="8">
        <v>0.05</v>
      </c>
      <c r="T64" s="7">
        <f t="shared" si="1"/>
        <v>42.75</v>
      </c>
    </row>
    <row r="65" spans="1:20" x14ac:dyDescent="0.3">
      <c r="A65">
        <v>64</v>
      </c>
      <c r="B65" s="4">
        <v>44737</v>
      </c>
      <c r="C65" s="5">
        <v>44737</v>
      </c>
      <c r="D65">
        <v>6678</v>
      </c>
      <c r="E65" t="s">
        <v>102</v>
      </c>
      <c r="F65">
        <v>12883</v>
      </c>
      <c r="G65" t="s">
        <v>188</v>
      </c>
      <c r="H65" t="s">
        <v>51</v>
      </c>
      <c r="I65" t="s">
        <v>298</v>
      </c>
      <c r="J65" t="s">
        <v>296</v>
      </c>
      <c r="K65" t="s">
        <v>32</v>
      </c>
      <c r="L65" t="s">
        <v>33</v>
      </c>
      <c r="N65" s="1">
        <v>12</v>
      </c>
      <c r="O65" s="6">
        <v>3</v>
      </c>
      <c r="P65" s="7">
        <f t="shared" si="0"/>
        <v>36</v>
      </c>
      <c r="Q65">
        <v>4</v>
      </c>
      <c r="R65" s="4" t="s">
        <v>66</v>
      </c>
      <c r="S65" s="8">
        <v>0.1</v>
      </c>
      <c r="T65" s="7">
        <f t="shared" si="1"/>
        <v>32.4</v>
      </c>
    </row>
    <row r="66" spans="1:20" x14ac:dyDescent="0.3">
      <c r="A66">
        <v>65</v>
      </c>
      <c r="B66" s="4">
        <v>44738</v>
      </c>
      <c r="C66" s="5">
        <v>44738</v>
      </c>
      <c r="D66">
        <v>8064</v>
      </c>
      <c r="E66" t="s">
        <v>90</v>
      </c>
      <c r="F66">
        <v>17067</v>
      </c>
      <c r="G66" t="s">
        <v>189</v>
      </c>
      <c r="H66" t="s">
        <v>300</v>
      </c>
      <c r="I66" t="s">
        <v>298</v>
      </c>
      <c r="J66" t="s">
        <v>296</v>
      </c>
      <c r="K66" t="s">
        <v>12</v>
      </c>
      <c r="L66" t="s">
        <v>13</v>
      </c>
      <c r="N66" s="1">
        <v>9</v>
      </c>
      <c r="O66" s="6">
        <v>2</v>
      </c>
      <c r="P66" s="7">
        <f t="shared" ref="P66:P129" si="2">N66*O66</f>
        <v>18</v>
      </c>
      <c r="Q66">
        <v>3</v>
      </c>
      <c r="R66" s="4" t="s">
        <v>68</v>
      </c>
      <c r="S66" s="8">
        <v>0.08</v>
      </c>
      <c r="T66" s="7">
        <f t="shared" ref="T66:T129" si="3">P66-P66*S66</f>
        <v>16.559999999999999</v>
      </c>
    </row>
    <row r="67" spans="1:20" x14ac:dyDescent="0.3">
      <c r="A67">
        <v>66</v>
      </c>
      <c r="B67" s="4">
        <v>44738</v>
      </c>
      <c r="C67" s="5">
        <v>44738</v>
      </c>
      <c r="D67">
        <v>5454</v>
      </c>
      <c r="E67" t="s">
        <v>91</v>
      </c>
      <c r="F67">
        <v>16272</v>
      </c>
      <c r="G67" t="s">
        <v>190</v>
      </c>
      <c r="H67" t="s">
        <v>54</v>
      </c>
      <c r="I67" t="s">
        <v>297</v>
      </c>
      <c r="J67" t="s">
        <v>296</v>
      </c>
      <c r="K67" t="s">
        <v>32</v>
      </c>
      <c r="L67" t="s">
        <v>33</v>
      </c>
      <c r="N67" s="1">
        <v>12</v>
      </c>
      <c r="O67" s="6">
        <v>4</v>
      </c>
      <c r="P67" s="7">
        <f t="shared" si="2"/>
        <v>48</v>
      </c>
      <c r="Q67">
        <v>2</v>
      </c>
      <c r="R67" s="4" t="s">
        <v>71</v>
      </c>
      <c r="S67" s="8">
        <v>0.06</v>
      </c>
      <c r="T67" s="7">
        <f t="shared" si="3"/>
        <v>45.12</v>
      </c>
    </row>
    <row r="68" spans="1:20" x14ac:dyDescent="0.3">
      <c r="A68">
        <v>67</v>
      </c>
      <c r="B68" s="4">
        <v>44739</v>
      </c>
      <c r="C68" s="5">
        <v>44739</v>
      </c>
      <c r="D68">
        <v>8064</v>
      </c>
      <c r="E68" t="s">
        <v>90</v>
      </c>
      <c r="F68">
        <v>21104</v>
      </c>
      <c r="G68" t="s">
        <v>191</v>
      </c>
      <c r="H68" t="s">
        <v>56</v>
      </c>
      <c r="I68" t="s">
        <v>297</v>
      </c>
      <c r="J68" t="s">
        <v>296</v>
      </c>
      <c r="K68" t="s">
        <v>9</v>
      </c>
      <c r="L68" t="s">
        <v>10</v>
      </c>
      <c r="N68" s="1">
        <v>5.95</v>
      </c>
      <c r="O68" s="6">
        <v>10</v>
      </c>
      <c r="P68" s="7">
        <f t="shared" si="2"/>
        <v>59.5</v>
      </c>
      <c r="Q68">
        <v>5</v>
      </c>
      <c r="R68" s="4" t="s">
        <v>69</v>
      </c>
      <c r="S68" s="8">
        <v>0.15</v>
      </c>
      <c r="T68" s="7">
        <f t="shared" si="3"/>
        <v>50.575000000000003</v>
      </c>
    </row>
    <row r="69" spans="1:20" x14ac:dyDescent="0.3">
      <c r="A69">
        <v>68</v>
      </c>
      <c r="B69" s="4">
        <v>44740</v>
      </c>
      <c r="C69" s="5">
        <v>44740</v>
      </c>
      <c r="D69">
        <v>6464</v>
      </c>
      <c r="E69" t="s">
        <v>103</v>
      </c>
      <c r="F69">
        <v>22708</v>
      </c>
      <c r="G69" t="s">
        <v>192</v>
      </c>
      <c r="H69" t="s">
        <v>53</v>
      </c>
      <c r="I69" t="s">
        <v>297</v>
      </c>
      <c r="J69" t="s">
        <v>296</v>
      </c>
      <c r="K69" t="s">
        <v>16</v>
      </c>
      <c r="L69" t="s">
        <v>17</v>
      </c>
      <c r="N69" s="1">
        <v>10</v>
      </c>
      <c r="O69" s="6">
        <v>1</v>
      </c>
      <c r="P69" s="7">
        <f t="shared" si="2"/>
        <v>10</v>
      </c>
      <c r="Q69">
        <v>3</v>
      </c>
      <c r="R69" s="4" t="s">
        <v>68</v>
      </c>
      <c r="S69" s="8">
        <v>0.08</v>
      </c>
      <c r="T69" s="7">
        <f t="shared" si="3"/>
        <v>9.1999999999999993</v>
      </c>
    </row>
    <row r="70" spans="1:20" x14ac:dyDescent="0.3">
      <c r="A70">
        <v>69</v>
      </c>
      <c r="B70" s="4">
        <v>44740</v>
      </c>
      <c r="C70" s="5">
        <v>44740</v>
      </c>
      <c r="D70">
        <v>6892</v>
      </c>
      <c r="E70" t="s">
        <v>93</v>
      </c>
      <c r="F70">
        <v>18495</v>
      </c>
      <c r="G70" t="s">
        <v>149</v>
      </c>
      <c r="H70" t="s">
        <v>54</v>
      </c>
      <c r="I70" t="s">
        <v>297</v>
      </c>
      <c r="J70" t="s">
        <v>296</v>
      </c>
      <c r="K70" t="s">
        <v>5</v>
      </c>
      <c r="L70" t="s">
        <v>6</v>
      </c>
      <c r="N70" s="1">
        <v>5.95</v>
      </c>
      <c r="O70" s="6">
        <v>7</v>
      </c>
      <c r="P70" s="7">
        <f t="shared" si="2"/>
        <v>41.65</v>
      </c>
      <c r="Q70">
        <v>4</v>
      </c>
      <c r="R70" s="4" t="s">
        <v>66</v>
      </c>
      <c r="S70" s="8">
        <v>0.1</v>
      </c>
      <c r="T70" s="7">
        <f t="shared" si="3"/>
        <v>37.484999999999999</v>
      </c>
    </row>
    <row r="71" spans="1:20" x14ac:dyDescent="0.3">
      <c r="A71">
        <v>70</v>
      </c>
      <c r="B71" s="4">
        <v>44740</v>
      </c>
      <c r="C71" s="5">
        <v>44740</v>
      </c>
      <c r="D71">
        <v>5382</v>
      </c>
      <c r="E71" t="s">
        <v>92</v>
      </c>
      <c r="F71">
        <v>18854</v>
      </c>
      <c r="G71" t="s">
        <v>151</v>
      </c>
      <c r="H71" t="s">
        <v>61</v>
      </c>
      <c r="I71" t="s">
        <v>297</v>
      </c>
      <c r="J71" t="s">
        <v>296</v>
      </c>
      <c r="K71" t="s">
        <v>21</v>
      </c>
      <c r="L71" t="s">
        <v>22</v>
      </c>
      <c r="N71" s="1">
        <v>7.5</v>
      </c>
      <c r="O71" s="6">
        <v>1</v>
      </c>
      <c r="P71" s="7">
        <f t="shared" si="2"/>
        <v>7.5</v>
      </c>
      <c r="Q71">
        <v>5</v>
      </c>
      <c r="R71" s="4" t="s">
        <v>69</v>
      </c>
      <c r="S71" s="8">
        <v>0.15</v>
      </c>
      <c r="T71" s="7">
        <f t="shared" si="3"/>
        <v>6.375</v>
      </c>
    </row>
    <row r="72" spans="1:20" x14ac:dyDescent="0.3">
      <c r="A72">
        <v>71</v>
      </c>
      <c r="B72" s="4">
        <v>44740</v>
      </c>
      <c r="C72" s="5">
        <v>44740</v>
      </c>
      <c r="D72">
        <v>8064</v>
      </c>
      <c r="E72" t="s">
        <v>90</v>
      </c>
      <c r="F72">
        <v>21064</v>
      </c>
      <c r="G72" t="s">
        <v>135</v>
      </c>
      <c r="H72" t="s">
        <v>56</v>
      </c>
      <c r="I72" t="s">
        <v>297</v>
      </c>
      <c r="J72" t="s">
        <v>296</v>
      </c>
      <c r="K72" t="s">
        <v>21</v>
      </c>
      <c r="L72" t="s">
        <v>22</v>
      </c>
      <c r="N72" s="1">
        <v>7.5</v>
      </c>
      <c r="O72" s="6">
        <v>9</v>
      </c>
      <c r="P72" s="7">
        <f t="shared" si="2"/>
        <v>67.5</v>
      </c>
      <c r="Q72">
        <v>0</v>
      </c>
      <c r="R72" s="4" t="s">
        <v>67</v>
      </c>
      <c r="S72" s="8">
        <v>0</v>
      </c>
      <c r="T72" s="7">
        <f t="shared" si="3"/>
        <v>67.5</v>
      </c>
    </row>
    <row r="73" spans="1:20" x14ac:dyDescent="0.3">
      <c r="A73">
        <v>72</v>
      </c>
      <c r="B73" s="4">
        <v>44741</v>
      </c>
      <c r="C73" s="5">
        <v>44741</v>
      </c>
      <c r="D73">
        <v>5454</v>
      </c>
      <c r="E73" t="s">
        <v>91</v>
      </c>
      <c r="F73">
        <v>10340</v>
      </c>
      <c r="G73" t="s">
        <v>193</v>
      </c>
      <c r="H73" t="s">
        <v>53</v>
      </c>
      <c r="I73" t="s">
        <v>297</v>
      </c>
      <c r="J73" t="s">
        <v>296</v>
      </c>
      <c r="K73" t="s">
        <v>28</v>
      </c>
      <c r="L73" t="s">
        <v>29</v>
      </c>
      <c r="N73" s="1">
        <v>12</v>
      </c>
      <c r="O73" s="6">
        <v>7</v>
      </c>
      <c r="P73" s="7">
        <f t="shared" si="2"/>
        <v>84</v>
      </c>
      <c r="Q73">
        <v>0</v>
      </c>
      <c r="R73" s="4" t="s">
        <v>67</v>
      </c>
      <c r="S73" s="8">
        <v>0</v>
      </c>
      <c r="T73" s="7">
        <f t="shared" si="3"/>
        <v>84</v>
      </c>
    </row>
    <row r="74" spans="1:20" x14ac:dyDescent="0.3">
      <c r="A74">
        <v>73</v>
      </c>
      <c r="B74" s="4">
        <v>44742</v>
      </c>
      <c r="C74" s="5">
        <v>44742</v>
      </c>
      <c r="D74">
        <v>6464</v>
      </c>
      <c r="E74" t="s">
        <v>103</v>
      </c>
      <c r="F74">
        <v>18265</v>
      </c>
      <c r="G74" t="s">
        <v>194</v>
      </c>
      <c r="H74" t="s">
        <v>56</v>
      </c>
      <c r="I74" t="s">
        <v>297</v>
      </c>
      <c r="J74" t="s">
        <v>296</v>
      </c>
      <c r="K74" t="s">
        <v>7</v>
      </c>
      <c r="L74" t="s">
        <v>8</v>
      </c>
      <c r="N74" s="1">
        <v>5.95</v>
      </c>
      <c r="O74" s="6">
        <v>9</v>
      </c>
      <c r="P74" s="7">
        <f t="shared" si="2"/>
        <v>53.550000000000004</v>
      </c>
      <c r="Q74">
        <v>2</v>
      </c>
      <c r="R74" s="4" t="s">
        <v>71</v>
      </c>
      <c r="S74" s="8">
        <v>0.06</v>
      </c>
      <c r="T74" s="7">
        <f t="shared" si="3"/>
        <v>50.337000000000003</v>
      </c>
    </row>
    <row r="75" spans="1:20" x14ac:dyDescent="0.3">
      <c r="A75">
        <v>74</v>
      </c>
      <c r="B75" s="4">
        <v>44743</v>
      </c>
      <c r="C75" s="5">
        <v>44743</v>
      </c>
      <c r="D75">
        <v>5454</v>
      </c>
      <c r="E75" t="s">
        <v>91</v>
      </c>
      <c r="F75">
        <v>13739</v>
      </c>
      <c r="G75" t="s">
        <v>195</v>
      </c>
      <c r="H75" t="s">
        <v>58</v>
      </c>
      <c r="I75" t="s">
        <v>299</v>
      </c>
      <c r="J75" t="s">
        <v>296</v>
      </c>
      <c r="K75" t="s">
        <v>14</v>
      </c>
      <c r="L75" t="s">
        <v>15</v>
      </c>
      <c r="N75" s="1">
        <v>9.5</v>
      </c>
      <c r="O75" s="6">
        <v>3</v>
      </c>
      <c r="P75" s="7">
        <f t="shared" si="2"/>
        <v>28.5</v>
      </c>
      <c r="Q75">
        <v>1</v>
      </c>
      <c r="R75" s="4" t="s">
        <v>70</v>
      </c>
      <c r="S75" s="8">
        <v>0.05</v>
      </c>
      <c r="T75" s="7">
        <f t="shared" si="3"/>
        <v>27.074999999999999</v>
      </c>
    </row>
    <row r="76" spans="1:20" x14ac:dyDescent="0.3">
      <c r="A76">
        <v>75</v>
      </c>
      <c r="B76" s="4">
        <v>44743</v>
      </c>
      <c r="C76" s="5">
        <v>44743</v>
      </c>
      <c r="D76">
        <v>1384</v>
      </c>
      <c r="E76" t="s">
        <v>95</v>
      </c>
      <c r="F76">
        <v>10075</v>
      </c>
      <c r="G76" t="s">
        <v>196</v>
      </c>
      <c r="H76" t="s">
        <v>54</v>
      </c>
      <c r="I76" t="s">
        <v>297</v>
      </c>
      <c r="J76" t="s">
        <v>296</v>
      </c>
      <c r="K76" t="s">
        <v>12</v>
      </c>
      <c r="L76" t="s">
        <v>13</v>
      </c>
      <c r="N76" s="1">
        <v>9</v>
      </c>
      <c r="O76" s="6">
        <v>9</v>
      </c>
      <c r="P76" s="7">
        <f t="shared" si="2"/>
        <v>81</v>
      </c>
      <c r="Q76">
        <v>1</v>
      </c>
      <c r="R76" s="4" t="s">
        <v>70</v>
      </c>
      <c r="S76" s="8">
        <v>0.05</v>
      </c>
      <c r="T76" s="7">
        <f t="shared" si="3"/>
        <v>76.95</v>
      </c>
    </row>
    <row r="77" spans="1:20" x14ac:dyDescent="0.3">
      <c r="A77">
        <v>76</v>
      </c>
      <c r="B77" s="4">
        <v>44744</v>
      </c>
      <c r="C77" s="5">
        <v>44744</v>
      </c>
      <c r="D77">
        <v>6143</v>
      </c>
      <c r="E77" t="s">
        <v>104</v>
      </c>
      <c r="F77">
        <v>10061</v>
      </c>
      <c r="G77" t="s">
        <v>197</v>
      </c>
      <c r="H77" t="s">
        <v>54</v>
      </c>
      <c r="I77" t="s">
        <v>297</v>
      </c>
      <c r="J77" t="s">
        <v>296</v>
      </c>
      <c r="K77" t="s">
        <v>12</v>
      </c>
      <c r="L77" t="s">
        <v>13</v>
      </c>
      <c r="N77" s="1">
        <v>9</v>
      </c>
      <c r="O77" s="6">
        <v>5</v>
      </c>
      <c r="P77" s="7">
        <f t="shared" si="2"/>
        <v>45</v>
      </c>
      <c r="Q77">
        <v>0</v>
      </c>
      <c r="R77" s="4" t="s">
        <v>67</v>
      </c>
      <c r="S77" s="8">
        <v>0</v>
      </c>
      <c r="T77" s="7">
        <f t="shared" si="3"/>
        <v>45</v>
      </c>
    </row>
    <row r="78" spans="1:20" x14ac:dyDescent="0.3">
      <c r="A78">
        <v>77</v>
      </c>
      <c r="B78" s="4">
        <v>44744</v>
      </c>
      <c r="C78" s="5">
        <v>44744</v>
      </c>
      <c r="D78">
        <v>6892</v>
      </c>
      <c r="E78" t="s">
        <v>93</v>
      </c>
      <c r="F78">
        <v>12793</v>
      </c>
      <c r="G78" t="s">
        <v>198</v>
      </c>
      <c r="H78" t="s">
        <v>53</v>
      </c>
      <c r="I78" t="s">
        <v>297</v>
      </c>
      <c r="J78" t="s">
        <v>296</v>
      </c>
      <c r="K78" t="s">
        <v>9</v>
      </c>
      <c r="L78" t="s">
        <v>10</v>
      </c>
      <c r="N78" s="1">
        <v>5.95</v>
      </c>
      <c r="O78" s="6">
        <v>1</v>
      </c>
      <c r="P78" s="7">
        <f t="shared" si="2"/>
        <v>5.95</v>
      </c>
      <c r="Q78">
        <v>3</v>
      </c>
      <c r="R78" s="4" t="s">
        <v>68</v>
      </c>
      <c r="S78" s="8">
        <v>0.08</v>
      </c>
      <c r="T78" s="7">
        <f t="shared" si="3"/>
        <v>5.4740000000000002</v>
      </c>
    </row>
    <row r="79" spans="1:20" x14ac:dyDescent="0.3">
      <c r="A79">
        <v>78</v>
      </c>
      <c r="B79" s="4">
        <v>44745</v>
      </c>
      <c r="C79" s="5">
        <v>44745</v>
      </c>
      <c r="D79">
        <v>6464</v>
      </c>
      <c r="E79" t="s">
        <v>103</v>
      </c>
      <c r="F79">
        <v>18436</v>
      </c>
      <c r="G79" t="s">
        <v>171</v>
      </c>
      <c r="H79" t="s">
        <v>52</v>
      </c>
      <c r="I79" t="s">
        <v>297</v>
      </c>
      <c r="J79" t="s">
        <v>296</v>
      </c>
      <c r="K79" t="s">
        <v>7</v>
      </c>
      <c r="L79" t="s">
        <v>8</v>
      </c>
      <c r="N79" s="1">
        <v>5.95</v>
      </c>
      <c r="O79" s="6">
        <v>1</v>
      </c>
      <c r="P79" s="7">
        <f t="shared" si="2"/>
        <v>5.95</v>
      </c>
      <c r="Q79">
        <v>0</v>
      </c>
      <c r="R79" s="4" t="s">
        <v>67</v>
      </c>
      <c r="S79" s="8">
        <v>0</v>
      </c>
      <c r="T79" s="7">
        <f t="shared" si="3"/>
        <v>5.95</v>
      </c>
    </row>
    <row r="80" spans="1:20" x14ac:dyDescent="0.3">
      <c r="A80">
        <v>79</v>
      </c>
      <c r="B80" s="4">
        <v>44746</v>
      </c>
      <c r="C80" s="5">
        <v>44746</v>
      </c>
      <c r="D80">
        <v>6892</v>
      </c>
      <c r="E80" t="s">
        <v>93</v>
      </c>
      <c r="F80">
        <v>12793</v>
      </c>
      <c r="G80" t="s">
        <v>198</v>
      </c>
      <c r="H80" t="s">
        <v>53</v>
      </c>
      <c r="I80" t="s">
        <v>297</v>
      </c>
      <c r="J80" t="s">
        <v>296</v>
      </c>
      <c r="K80" t="s">
        <v>7</v>
      </c>
      <c r="L80" t="s">
        <v>8</v>
      </c>
      <c r="N80" s="1">
        <v>5.95</v>
      </c>
      <c r="O80" s="6">
        <v>6</v>
      </c>
      <c r="P80" s="7">
        <f t="shared" si="2"/>
        <v>35.700000000000003</v>
      </c>
      <c r="Q80">
        <v>3</v>
      </c>
      <c r="R80" s="4" t="s">
        <v>68</v>
      </c>
      <c r="S80" s="8">
        <v>0.08</v>
      </c>
      <c r="T80" s="7">
        <f t="shared" si="3"/>
        <v>32.844000000000001</v>
      </c>
    </row>
    <row r="81" spans="1:20" x14ac:dyDescent="0.3">
      <c r="A81">
        <v>80</v>
      </c>
      <c r="B81" s="4">
        <v>44746</v>
      </c>
      <c r="C81" s="5">
        <v>44746</v>
      </c>
      <c r="D81">
        <v>6678</v>
      </c>
      <c r="E81" t="s">
        <v>102</v>
      </c>
      <c r="F81">
        <v>18982</v>
      </c>
      <c r="G81" t="s">
        <v>199</v>
      </c>
      <c r="H81" t="s">
        <v>55</v>
      </c>
      <c r="I81" t="s">
        <v>297</v>
      </c>
      <c r="J81" t="s">
        <v>296</v>
      </c>
      <c r="K81" t="s">
        <v>19</v>
      </c>
      <c r="L81" t="s">
        <v>20</v>
      </c>
      <c r="N81" s="1">
        <v>7.5</v>
      </c>
      <c r="O81" s="6">
        <v>10</v>
      </c>
      <c r="P81" s="7">
        <f t="shared" si="2"/>
        <v>75</v>
      </c>
      <c r="Q81">
        <v>2</v>
      </c>
      <c r="R81" s="4" t="s">
        <v>71</v>
      </c>
      <c r="S81" s="8">
        <v>0.06</v>
      </c>
      <c r="T81" s="7">
        <f t="shared" si="3"/>
        <v>70.5</v>
      </c>
    </row>
    <row r="82" spans="1:20" x14ac:dyDescent="0.3">
      <c r="A82">
        <v>81</v>
      </c>
      <c r="B82" s="4">
        <v>44746</v>
      </c>
      <c r="C82" s="5">
        <v>44746</v>
      </c>
      <c r="D82">
        <v>1384</v>
      </c>
      <c r="E82" t="s">
        <v>95</v>
      </c>
      <c r="F82">
        <v>24926</v>
      </c>
      <c r="G82" t="s">
        <v>200</v>
      </c>
      <c r="H82" t="s">
        <v>48</v>
      </c>
      <c r="I82" t="s">
        <v>297</v>
      </c>
      <c r="J82" t="s">
        <v>296</v>
      </c>
      <c r="K82" t="s">
        <v>21</v>
      </c>
      <c r="L82" t="s">
        <v>22</v>
      </c>
      <c r="N82" s="1">
        <v>7.5</v>
      </c>
      <c r="O82" s="6">
        <v>9</v>
      </c>
      <c r="P82" s="7">
        <f t="shared" si="2"/>
        <v>67.5</v>
      </c>
      <c r="Q82">
        <v>3</v>
      </c>
      <c r="R82" s="4" t="s">
        <v>68</v>
      </c>
      <c r="S82" s="8">
        <v>0.08</v>
      </c>
      <c r="T82" s="7">
        <f t="shared" si="3"/>
        <v>62.1</v>
      </c>
    </row>
    <row r="83" spans="1:20" x14ac:dyDescent="0.3">
      <c r="A83">
        <v>82</v>
      </c>
      <c r="B83" s="4">
        <v>44746</v>
      </c>
      <c r="C83" s="5">
        <v>44746</v>
      </c>
      <c r="D83">
        <v>5382</v>
      </c>
      <c r="E83" t="s">
        <v>92</v>
      </c>
      <c r="F83">
        <v>10681</v>
      </c>
      <c r="G83" t="s">
        <v>134</v>
      </c>
      <c r="H83" t="s">
        <v>49</v>
      </c>
      <c r="I83" t="s">
        <v>297</v>
      </c>
      <c r="J83" t="s">
        <v>296</v>
      </c>
      <c r="K83" t="s">
        <v>12</v>
      </c>
      <c r="L83" t="s">
        <v>13</v>
      </c>
      <c r="N83" s="1">
        <v>9</v>
      </c>
      <c r="O83" s="6">
        <v>3</v>
      </c>
      <c r="P83" s="7">
        <f t="shared" si="2"/>
        <v>27</v>
      </c>
      <c r="Q83">
        <v>5</v>
      </c>
      <c r="R83" s="4" t="s">
        <v>69</v>
      </c>
      <c r="S83" s="8">
        <v>0.15</v>
      </c>
      <c r="T83" s="7">
        <f t="shared" si="3"/>
        <v>22.95</v>
      </c>
    </row>
    <row r="84" spans="1:20" x14ac:dyDescent="0.3">
      <c r="A84">
        <v>83</v>
      </c>
      <c r="B84" s="4">
        <v>44747</v>
      </c>
      <c r="C84" s="5">
        <v>44747</v>
      </c>
      <c r="D84">
        <v>8064</v>
      </c>
      <c r="E84" t="s">
        <v>90</v>
      </c>
      <c r="F84">
        <v>19112</v>
      </c>
      <c r="G84" t="s">
        <v>201</v>
      </c>
      <c r="H84" t="s">
        <v>61</v>
      </c>
      <c r="I84" t="s">
        <v>297</v>
      </c>
      <c r="J84" t="s">
        <v>296</v>
      </c>
      <c r="K84" t="s">
        <v>14</v>
      </c>
      <c r="L84" t="s">
        <v>15</v>
      </c>
      <c r="N84" s="1">
        <v>9.5</v>
      </c>
      <c r="O84" s="6">
        <v>3</v>
      </c>
      <c r="P84" s="7">
        <f t="shared" si="2"/>
        <v>28.5</v>
      </c>
      <c r="Q84">
        <v>3</v>
      </c>
      <c r="R84" s="4" t="s">
        <v>68</v>
      </c>
      <c r="S84" s="8">
        <v>0.08</v>
      </c>
      <c r="T84" s="7">
        <f t="shared" si="3"/>
        <v>26.22</v>
      </c>
    </row>
    <row r="85" spans="1:20" x14ac:dyDescent="0.3">
      <c r="A85">
        <v>84</v>
      </c>
      <c r="B85" s="4">
        <v>44747</v>
      </c>
      <c r="C85" s="5">
        <v>44747</v>
      </c>
      <c r="D85">
        <v>6464</v>
      </c>
      <c r="E85" t="s">
        <v>103</v>
      </c>
      <c r="F85">
        <v>25523</v>
      </c>
      <c r="G85" t="s">
        <v>202</v>
      </c>
      <c r="H85" t="s">
        <v>56</v>
      </c>
      <c r="I85" t="s">
        <v>297</v>
      </c>
      <c r="J85" t="s">
        <v>296</v>
      </c>
      <c r="K85" t="s">
        <v>5</v>
      </c>
      <c r="L85" t="s">
        <v>6</v>
      </c>
      <c r="N85" s="1">
        <v>5.95</v>
      </c>
      <c r="O85" s="6">
        <v>8</v>
      </c>
      <c r="P85" s="7">
        <f t="shared" si="2"/>
        <v>47.6</v>
      </c>
      <c r="Q85">
        <v>5</v>
      </c>
      <c r="R85" s="4" t="s">
        <v>69</v>
      </c>
      <c r="S85" s="8">
        <v>0.15</v>
      </c>
      <c r="T85" s="7">
        <f t="shared" si="3"/>
        <v>40.46</v>
      </c>
    </row>
    <row r="86" spans="1:20" x14ac:dyDescent="0.3">
      <c r="A86">
        <v>85</v>
      </c>
      <c r="B86" s="4">
        <v>44748</v>
      </c>
      <c r="C86" s="5">
        <v>44748</v>
      </c>
      <c r="D86">
        <v>8064</v>
      </c>
      <c r="E86" t="s">
        <v>90</v>
      </c>
      <c r="F86">
        <v>22544</v>
      </c>
      <c r="G86" t="s">
        <v>203</v>
      </c>
      <c r="H86" t="s">
        <v>61</v>
      </c>
      <c r="I86" t="s">
        <v>297</v>
      </c>
      <c r="J86" t="s">
        <v>296</v>
      </c>
      <c r="K86" t="s">
        <v>12</v>
      </c>
      <c r="L86" t="s">
        <v>13</v>
      </c>
      <c r="N86" s="1">
        <v>9</v>
      </c>
      <c r="O86" s="6">
        <v>6</v>
      </c>
      <c r="P86" s="7">
        <f t="shared" si="2"/>
        <v>54</v>
      </c>
      <c r="Q86">
        <v>3</v>
      </c>
      <c r="R86" s="4" t="s">
        <v>68</v>
      </c>
      <c r="S86" s="8">
        <v>0.08</v>
      </c>
      <c r="T86" s="7">
        <f t="shared" si="3"/>
        <v>49.68</v>
      </c>
    </row>
    <row r="87" spans="1:20" x14ac:dyDescent="0.3">
      <c r="A87">
        <v>86</v>
      </c>
      <c r="B87" s="4">
        <v>44748</v>
      </c>
      <c r="C87" s="5">
        <v>44748</v>
      </c>
      <c r="D87">
        <v>5418</v>
      </c>
      <c r="E87" t="s">
        <v>97</v>
      </c>
      <c r="F87">
        <v>17338</v>
      </c>
      <c r="G87" t="s">
        <v>158</v>
      </c>
      <c r="H87" t="s">
        <v>54</v>
      </c>
      <c r="I87" t="s">
        <v>297</v>
      </c>
      <c r="J87" t="s">
        <v>296</v>
      </c>
      <c r="K87" t="s">
        <v>28</v>
      </c>
      <c r="L87" t="s">
        <v>29</v>
      </c>
      <c r="N87" s="1">
        <v>12</v>
      </c>
      <c r="O87" s="6">
        <v>8</v>
      </c>
      <c r="P87" s="7">
        <f t="shared" si="2"/>
        <v>96</v>
      </c>
      <c r="Q87">
        <v>5</v>
      </c>
      <c r="R87" s="4" t="s">
        <v>69</v>
      </c>
      <c r="S87" s="8">
        <v>0.15</v>
      </c>
      <c r="T87" s="7">
        <f t="shared" si="3"/>
        <v>81.599999999999994</v>
      </c>
    </row>
    <row r="88" spans="1:20" x14ac:dyDescent="0.3">
      <c r="A88">
        <v>87</v>
      </c>
      <c r="B88" s="4">
        <v>44749</v>
      </c>
      <c r="C88" s="5">
        <v>44749</v>
      </c>
      <c r="D88">
        <v>6892</v>
      </c>
      <c r="E88" t="s">
        <v>93</v>
      </c>
      <c r="F88">
        <v>25764</v>
      </c>
      <c r="G88" t="s">
        <v>204</v>
      </c>
      <c r="H88" t="s">
        <v>50</v>
      </c>
      <c r="I88" t="s">
        <v>297</v>
      </c>
      <c r="J88" t="s">
        <v>296</v>
      </c>
      <c r="K88" t="s">
        <v>32</v>
      </c>
      <c r="L88" t="s">
        <v>33</v>
      </c>
      <c r="N88" s="1">
        <v>12</v>
      </c>
      <c r="O88" s="6">
        <v>1</v>
      </c>
      <c r="P88" s="7">
        <f t="shared" si="2"/>
        <v>12</v>
      </c>
      <c r="Q88">
        <v>1</v>
      </c>
      <c r="R88" s="4" t="s">
        <v>70</v>
      </c>
      <c r="S88" s="8">
        <v>0.05</v>
      </c>
      <c r="T88" s="7">
        <f t="shared" si="3"/>
        <v>11.4</v>
      </c>
    </row>
    <row r="89" spans="1:20" x14ac:dyDescent="0.3">
      <c r="A89">
        <v>88</v>
      </c>
      <c r="B89" s="4">
        <v>44749</v>
      </c>
      <c r="C89" s="5">
        <v>44749</v>
      </c>
      <c r="D89">
        <v>6464</v>
      </c>
      <c r="E89" t="s">
        <v>103</v>
      </c>
      <c r="F89">
        <v>20912</v>
      </c>
      <c r="G89" t="s">
        <v>205</v>
      </c>
      <c r="H89" t="s">
        <v>47</v>
      </c>
      <c r="I89" t="s">
        <v>297</v>
      </c>
      <c r="J89" t="s">
        <v>296</v>
      </c>
      <c r="K89" t="s">
        <v>14</v>
      </c>
      <c r="L89" t="s">
        <v>15</v>
      </c>
      <c r="N89" s="1">
        <v>9.5</v>
      </c>
      <c r="O89" s="6">
        <v>1</v>
      </c>
      <c r="P89" s="7">
        <f t="shared" si="2"/>
        <v>9.5</v>
      </c>
      <c r="Q89">
        <v>5</v>
      </c>
      <c r="R89" s="4" t="s">
        <v>69</v>
      </c>
      <c r="S89" s="8">
        <v>0.15</v>
      </c>
      <c r="T89" s="7">
        <f t="shared" si="3"/>
        <v>8.0749999999999993</v>
      </c>
    </row>
    <row r="90" spans="1:20" x14ac:dyDescent="0.3">
      <c r="A90">
        <v>89</v>
      </c>
      <c r="B90" s="4">
        <v>44749</v>
      </c>
      <c r="C90" s="5">
        <v>44749</v>
      </c>
      <c r="D90">
        <v>6143</v>
      </c>
      <c r="E90" t="s">
        <v>104</v>
      </c>
      <c r="F90">
        <v>11347</v>
      </c>
      <c r="G90" t="s">
        <v>186</v>
      </c>
      <c r="H90" t="s">
        <v>50</v>
      </c>
      <c r="I90" t="s">
        <v>297</v>
      </c>
      <c r="J90" t="s">
        <v>296</v>
      </c>
      <c r="K90" t="s">
        <v>25</v>
      </c>
      <c r="L90" t="s">
        <v>26</v>
      </c>
      <c r="N90" s="1">
        <v>8</v>
      </c>
      <c r="O90" s="6">
        <v>5</v>
      </c>
      <c r="P90" s="7">
        <f t="shared" si="2"/>
        <v>40</v>
      </c>
      <c r="Q90">
        <v>2</v>
      </c>
      <c r="R90" s="4" t="s">
        <v>71</v>
      </c>
      <c r="S90" s="8">
        <v>0.06</v>
      </c>
      <c r="T90" s="7">
        <f t="shared" si="3"/>
        <v>37.6</v>
      </c>
    </row>
    <row r="91" spans="1:20" x14ac:dyDescent="0.3">
      <c r="A91">
        <v>90</v>
      </c>
      <c r="B91" s="4">
        <v>44750</v>
      </c>
      <c r="C91" s="5">
        <v>44750</v>
      </c>
      <c r="D91">
        <v>6678</v>
      </c>
      <c r="E91" t="s">
        <v>102</v>
      </c>
      <c r="F91">
        <v>25511</v>
      </c>
      <c r="G91" t="s">
        <v>206</v>
      </c>
      <c r="H91" t="s">
        <v>57</v>
      </c>
      <c r="I91" t="s">
        <v>297</v>
      </c>
      <c r="J91" t="s">
        <v>296</v>
      </c>
      <c r="K91" t="s">
        <v>14</v>
      </c>
      <c r="L91" t="s">
        <v>15</v>
      </c>
      <c r="N91" s="1">
        <v>9.5</v>
      </c>
      <c r="O91" s="6">
        <v>2</v>
      </c>
      <c r="P91" s="7">
        <f t="shared" si="2"/>
        <v>19</v>
      </c>
      <c r="Q91">
        <v>0</v>
      </c>
      <c r="R91" s="4" t="s">
        <v>67</v>
      </c>
      <c r="S91" s="8">
        <v>0</v>
      </c>
      <c r="T91" s="7">
        <f t="shared" si="3"/>
        <v>19</v>
      </c>
    </row>
    <row r="92" spans="1:20" x14ac:dyDescent="0.3">
      <c r="A92">
        <v>91</v>
      </c>
      <c r="B92" s="4">
        <v>44750</v>
      </c>
      <c r="C92" s="5">
        <v>44750</v>
      </c>
      <c r="D92">
        <v>6250</v>
      </c>
      <c r="E92" t="s">
        <v>94</v>
      </c>
      <c r="F92">
        <v>24461</v>
      </c>
      <c r="G92" t="s">
        <v>207</v>
      </c>
      <c r="H92" t="s">
        <v>56</v>
      </c>
      <c r="I92" t="s">
        <v>297</v>
      </c>
      <c r="J92" t="s">
        <v>296</v>
      </c>
      <c r="K92" t="s">
        <v>16</v>
      </c>
      <c r="L92" t="s">
        <v>17</v>
      </c>
      <c r="N92" s="1">
        <v>10</v>
      </c>
      <c r="O92" s="6">
        <v>5</v>
      </c>
      <c r="P92" s="7">
        <f t="shared" si="2"/>
        <v>50</v>
      </c>
      <c r="Q92">
        <v>5</v>
      </c>
      <c r="R92" s="4" t="s">
        <v>69</v>
      </c>
      <c r="S92" s="8">
        <v>0.15</v>
      </c>
      <c r="T92" s="7">
        <f t="shared" si="3"/>
        <v>42.5</v>
      </c>
    </row>
    <row r="93" spans="1:20" x14ac:dyDescent="0.3">
      <c r="A93">
        <v>92</v>
      </c>
      <c r="B93" s="4">
        <v>44751</v>
      </c>
      <c r="C93" s="5">
        <v>44751</v>
      </c>
      <c r="D93">
        <v>6678</v>
      </c>
      <c r="E93" t="s">
        <v>102</v>
      </c>
      <c r="F93">
        <v>11047</v>
      </c>
      <c r="G93" t="s">
        <v>159</v>
      </c>
      <c r="H93" t="s">
        <v>53</v>
      </c>
      <c r="I93" t="s">
        <v>297</v>
      </c>
      <c r="J93" t="s">
        <v>296</v>
      </c>
      <c r="K93" t="s">
        <v>23</v>
      </c>
      <c r="L93" t="s">
        <v>24</v>
      </c>
      <c r="N93" s="1">
        <v>7.5</v>
      </c>
      <c r="O93" s="6">
        <v>4</v>
      </c>
      <c r="P93" s="7">
        <f t="shared" si="2"/>
        <v>30</v>
      </c>
      <c r="Q93">
        <v>1</v>
      </c>
      <c r="R93" s="4" t="s">
        <v>70</v>
      </c>
      <c r="S93" s="8">
        <v>0.05</v>
      </c>
      <c r="T93" s="7">
        <f t="shared" si="3"/>
        <v>28.5</v>
      </c>
    </row>
    <row r="94" spans="1:20" x14ac:dyDescent="0.3">
      <c r="A94">
        <v>93</v>
      </c>
      <c r="B94" s="4">
        <v>44751</v>
      </c>
      <c r="C94" s="5">
        <v>44751</v>
      </c>
      <c r="D94">
        <v>6892</v>
      </c>
      <c r="E94" t="s">
        <v>93</v>
      </c>
      <c r="F94">
        <v>12032</v>
      </c>
      <c r="G94" t="s">
        <v>208</v>
      </c>
      <c r="H94" t="s">
        <v>56</v>
      </c>
      <c r="I94" t="s">
        <v>297</v>
      </c>
      <c r="J94" t="s">
        <v>296</v>
      </c>
      <c r="K94" t="s">
        <v>28</v>
      </c>
      <c r="L94" t="s">
        <v>29</v>
      </c>
      <c r="N94" s="1">
        <v>12</v>
      </c>
      <c r="O94" s="6">
        <v>8</v>
      </c>
      <c r="P94" s="7">
        <f t="shared" si="2"/>
        <v>96</v>
      </c>
      <c r="Q94">
        <v>4</v>
      </c>
      <c r="R94" s="4" t="s">
        <v>66</v>
      </c>
      <c r="S94" s="8">
        <v>0.1</v>
      </c>
      <c r="T94" s="7">
        <f t="shared" si="3"/>
        <v>86.4</v>
      </c>
    </row>
    <row r="95" spans="1:20" x14ac:dyDescent="0.3">
      <c r="A95">
        <v>94</v>
      </c>
      <c r="B95" s="4">
        <v>44752</v>
      </c>
      <c r="C95" s="5">
        <v>44752</v>
      </c>
      <c r="D95">
        <v>5400</v>
      </c>
      <c r="E95" t="s">
        <v>99</v>
      </c>
      <c r="F95">
        <v>27560</v>
      </c>
      <c r="G95" t="s">
        <v>155</v>
      </c>
      <c r="H95" t="s">
        <v>57</v>
      </c>
      <c r="I95" t="s">
        <v>297</v>
      </c>
      <c r="J95" t="s">
        <v>296</v>
      </c>
      <c r="K95" t="s">
        <v>14</v>
      </c>
      <c r="L95" t="s">
        <v>15</v>
      </c>
      <c r="N95" s="1">
        <v>9.5</v>
      </c>
      <c r="O95" s="6">
        <v>3</v>
      </c>
      <c r="P95" s="7">
        <f t="shared" si="2"/>
        <v>28.5</v>
      </c>
      <c r="Q95">
        <v>2</v>
      </c>
      <c r="R95" s="4" t="s">
        <v>71</v>
      </c>
      <c r="S95" s="8">
        <v>0.06</v>
      </c>
      <c r="T95" s="7">
        <f t="shared" si="3"/>
        <v>26.79</v>
      </c>
    </row>
    <row r="96" spans="1:20" x14ac:dyDescent="0.3">
      <c r="A96">
        <v>95</v>
      </c>
      <c r="B96" s="4">
        <v>44752</v>
      </c>
      <c r="C96" s="5">
        <v>44752</v>
      </c>
      <c r="D96">
        <v>6678</v>
      </c>
      <c r="E96" t="s">
        <v>102</v>
      </c>
      <c r="F96">
        <v>15464</v>
      </c>
      <c r="G96" t="s">
        <v>209</v>
      </c>
      <c r="H96" t="s">
        <v>59</v>
      </c>
      <c r="I96" t="s">
        <v>297</v>
      </c>
      <c r="J96" t="s">
        <v>296</v>
      </c>
      <c r="K96" t="s">
        <v>30</v>
      </c>
      <c r="L96" t="s">
        <v>31</v>
      </c>
      <c r="N96" s="1">
        <v>12</v>
      </c>
      <c r="O96" s="6">
        <v>7</v>
      </c>
      <c r="P96" s="7">
        <f t="shared" si="2"/>
        <v>84</v>
      </c>
      <c r="Q96">
        <v>4</v>
      </c>
      <c r="R96" s="4" t="s">
        <v>66</v>
      </c>
      <c r="S96" s="8">
        <v>0.1</v>
      </c>
      <c r="T96" s="7">
        <f t="shared" si="3"/>
        <v>75.599999999999994</v>
      </c>
    </row>
    <row r="97" spans="1:20" x14ac:dyDescent="0.3">
      <c r="A97">
        <v>96</v>
      </c>
      <c r="B97" s="4">
        <v>44753</v>
      </c>
      <c r="C97" s="5">
        <v>44753</v>
      </c>
      <c r="D97">
        <v>8064</v>
      </c>
      <c r="E97" t="s">
        <v>90</v>
      </c>
      <c r="F97">
        <v>12971</v>
      </c>
      <c r="G97" t="s">
        <v>210</v>
      </c>
      <c r="H97" t="s">
        <v>48</v>
      </c>
      <c r="I97" t="s">
        <v>297</v>
      </c>
      <c r="J97" t="s">
        <v>296</v>
      </c>
      <c r="K97" t="s">
        <v>23</v>
      </c>
      <c r="L97" t="s">
        <v>24</v>
      </c>
      <c r="N97" s="1">
        <v>7.5</v>
      </c>
      <c r="O97" s="6">
        <v>10</v>
      </c>
      <c r="P97" s="7">
        <f t="shared" si="2"/>
        <v>75</v>
      </c>
      <c r="Q97">
        <v>2</v>
      </c>
      <c r="R97" s="4" t="s">
        <v>71</v>
      </c>
      <c r="S97" s="8">
        <v>0.06</v>
      </c>
      <c r="T97" s="7">
        <f t="shared" si="3"/>
        <v>70.5</v>
      </c>
    </row>
    <row r="98" spans="1:20" x14ac:dyDescent="0.3">
      <c r="A98">
        <v>97</v>
      </c>
      <c r="B98" s="4">
        <v>44754</v>
      </c>
      <c r="C98" s="5">
        <v>44754</v>
      </c>
      <c r="D98">
        <v>6250</v>
      </c>
      <c r="E98" t="s">
        <v>94</v>
      </c>
      <c r="F98">
        <v>12883</v>
      </c>
      <c r="G98" t="s">
        <v>188</v>
      </c>
      <c r="H98" t="s">
        <v>51</v>
      </c>
      <c r="I98" t="s">
        <v>298</v>
      </c>
      <c r="J98" t="s">
        <v>296</v>
      </c>
      <c r="K98" t="s">
        <v>30</v>
      </c>
      <c r="L98" t="s">
        <v>31</v>
      </c>
      <c r="N98" s="1">
        <v>12</v>
      </c>
      <c r="O98" s="6">
        <v>7</v>
      </c>
      <c r="P98" s="7">
        <f t="shared" si="2"/>
        <v>84</v>
      </c>
      <c r="Q98">
        <v>4</v>
      </c>
      <c r="R98" s="4" t="s">
        <v>66</v>
      </c>
      <c r="S98" s="8">
        <v>0.1</v>
      </c>
      <c r="T98" s="7">
        <f t="shared" si="3"/>
        <v>75.599999999999994</v>
      </c>
    </row>
    <row r="99" spans="1:20" x14ac:dyDescent="0.3">
      <c r="A99">
        <v>98</v>
      </c>
      <c r="B99" s="4">
        <v>44754</v>
      </c>
      <c r="C99" s="5">
        <v>44754</v>
      </c>
      <c r="D99">
        <v>5418</v>
      </c>
      <c r="E99" t="s">
        <v>97</v>
      </c>
      <c r="F99">
        <v>16736</v>
      </c>
      <c r="G99" t="s">
        <v>131</v>
      </c>
      <c r="H99" t="s">
        <v>54</v>
      </c>
      <c r="I99" t="s">
        <v>297</v>
      </c>
      <c r="J99" t="s">
        <v>296</v>
      </c>
      <c r="K99" t="s">
        <v>7</v>
      </c>
      <c r="L99" t="s">
        <v>8</v>
      </c>
      <c r="N99" s="1">
        <v>5.95</v>
      </c>
      <c r="O99" s="6">
        <v>4</v>
      </c>
      <c r="P99" s="7">
        <f t="shared" si="2"/>
        <v>23.8</v>
      </c>
      <c r="Q99">
        <v>1</v>
      </c>
      <c r="R99" s="4" t="s">
        <v>70</v>
      </c>
      <c r="S99" s="8">
        <v>0.05</v>
      </c>
      <c r="T99" s="7">
        <f t="shared" si="3"/>
        <v>22.61</v>
      </c>
    </row>
    <row r="100" spans="1:20" x14ac:dyDescent="0.3">
      <c r="A100">
        <v>99</v>
      </c>
      <c r="B100" s="4">
        <v>44755</v>
      </c>
      <c r="C100" s="5">
        <v>44755</v>
      </c>
      <c r="D100">
        <v>6464</v>
      </c>
      <c r="E100" t="s">
        <v>103</v>
      </c>
      <c r="F100">
        <v>28365</v>
      </c>
      <c r="G100" t="s">
        <v>136</v>
      </c>
      <c r="H100" t="s">
        <v>300</v>
      </c>
      <c r="I100" t="s">
        <v>298</v>
      </c>
      <c r="J100" t="s">
        <v>296</v>
      </c>
      <c r="K100" t="s">
        <v>28</v>
      </c>
      <c r="L100" t="s">
        <v>29</v>
      </c>
      <c r="N100" s="1">
        <v>12</v>
      </c>
      <c r="O100" s="6">
        <v>7</v>
      </c>
      <c r="P100" s="7">
        <f t="shared" si="2"/>
        <v>84</v>
      </c>
      <c r="Q100">
        <v>1</v>
      </c>
      <c r="R100" s="4" t="s">
        <v>70</v>
      </c>
      <c r="S100" s="8">
        <v>0.05</v>
      </c>
      <c r="T100" s="7">
        <f t="shared" si="3"/>
        <v>79.8</v>
      </c>
    </row>
    <row r="101" spans="1:20" x14ac:dyDescent="0.3">
      <c r="A101">
        <v>100</v>
      </c>
      <c r="B101" s="4">
        <v>44755</v>
      </c>
      <c r="C101" s="5">
        <v>44755</v>
      </c>
      <c r="D101">
        <v>5400</v>
      </c>
      <c r="E101" t="s">
        <v>99</v>
      </c>
      <c r="F101">
        <v>16974</v>
      </c>
      <c r="G101" t="s">
        <v>211</v>
      </c>
      <c r="H101" t="s">
        <v>49</v>
      </c>
      <c r="I101" t="s">
        <v>297</v>
      </c>
      <c r="J101" t="s">
        <v>296</v>
      </c>
      <c r="K101" t="s">
        <v>30</v>
      </c>
      <c r="L101" t="s">
        <v>31</v>
      </c>
      <c r="N101" s="1">
        <v>12</v>
      </c>
      <c r="O101" s="6">
        <v>4</v>
      </c>
      <c r="P101" s="7">
        <f t="shared" si="2"/>
        <v>48</v>
      </c>
      <c r="Q101">
        <v>0</v>
      </c>
      <c r="R101" s="4" t="s">
        <v>67</v>
      </c>
      <c r="S101" s="8">
        <v>0</v>
      </c>
      <c r="T101" s="7">
        <f t="shared" si="3"/>
        <v>48</v>
      </c>
    </row>
    <row r="102" spans="1:20" x14ac:dyDescent="0.3">
      <c r="A102">
        <v>101</v>
      </c>
      <c r="B102" s="4">
        <v>44756</v>
      </c>
      <c r="C102" s="5">
        <v>44756</v>
      </c>
      <c r="D102">
        <v>6464</v>
      </c>
      <c r="E102" t="s">
        <v>103</v>
      </c>
      <c r="F102">
        <v>15353</v>
      </c>
      <c r="G102" t="s">
        <v>138</v>
      </c>
      <c r="H102" t="s">
        <v>52</v>
      </c>
      <c r="I102" t="s">
        <v>297</v>
      </c>
      <c r="J102" t="s">
        <v>296</v>
      </c>
      <c r="K102" t="s">
        <v>9</v>
      </c>
      <c r="L102" t="s">
        <v>10</v>
      </c>
      <c r="N102" s="1">
        <v>5.95</v>
      </c>
      <c r="O102" s="6">
        <v>3</v>
      </c>
      <c r="P102" s="7">
        <f t="shared" si="2"/>
        <v>17.850000000000001</v>
      </c>
      <c r="Q102">
        <v>3</v>
      </c>
      <c r="R102" s="4" t="s">
        <v>68</v>
      </c>
      <c r="S102" s="8">
        <v>0.08</v>
      </c>
      <c r="T102" s="7">
        <f t="shared" si="3"/>
        <v>16.422000000000001</v>
      </c>
    </row>
    <row r="103" spans="1:20" x14ac:dyDescent="0.3">
      <c r="A103">
        <v>102</v>
      </c>
      <c r="B103" s="4">
        <v>44756</v>
      </c>
      <c r="C103" s="5">
        <v>44756</v>
      </c>
      <c r="D103">
        <v>5382</v>
      </c>
      <c r="E103" t="s">
        <v>92</v>
      </c>
      <c r="F103">
        <v>26269</v>
      </c>
      <c r="G103" t="s">
        <v>183</v>
      </c>
      <c r="H103" t="s">
        <v>62</v>
      </c>
      <c r="I103" t="s">
        <v>297</v>
      </c>
      <c r="J103" t="s">
        <v>296</v>
      </c>
      <c r="K103" t="s">
        <v>19</v>
      </c>
      <c r="L103" t="s">
        <v>20</v>
      </c>
      <c r="N103" s="1">
        <v>7.5</v>
      </c>
      <c r="O103" s="6">
        <v>3</v>
      </c>
      <c r="P103" s="7">
        <f t="shared" si="2"/>
        <v>22.5</v>
      </c>
      <c r="Q103">
        <v>3</v>
      </c>
      <c r="R103" s="4" t="s">
        <v>68</v>
      </c>
      <c r="S103" s="8">
        <v>0.08</v>
      </c>
      <c r="T103" s="7">
        <f t="shared" si="3"/>
        <v>20.7</v>
      </c>
    </row>
    <row r="104" spans="1:20" x14ac:dyDescent="0.3">
      <c r="A104">
        <v>103</v>
      </c>
      <c r="B104" s="4">
        <v>44757</v>
      </c>
      <c r="C104" s="5">
        <v>44757</v>
      </c>
      <c r="D104">
        <v>6464</v>
      </c>
      <c r="E104" t="s">
        <v>103</v>
      </c>
      <c r="F104">
        <v>16272</v>
      </c>
      <c r="G104" t="s">
        <v>190</v>
      </c>
      <c r="H104" t="s">
        <v>54</v>
      </c>
      <c r="I104" t="s">
        <v>297</v>
      </c>
      <c r="J104" t="s">
        <v>296</v>
      </c>
      <c r="K104" t="s">
        <v>30</v>
      </c>
      <c r="L104" t="s">
        <v>31</v>
      </c>
      <c r="N104" s="1">
        <v>12</v>
      </c>
      <c r="O104" s="6">
        <v>6</v>
      </c>
      <c r="P104" s="7">
        <f t="shared" si="2"/>
        <v>72</v>
      </c>
      <c r="Q104">
        <v>0</v>
      </c>
      <c r="R104" s="4" t="s">
        <v>67</v>
      </c>
      <c r="S104" s="8">
        <v>0</v>
      </c>
      <c r="T104" s="7">
        <f t="shared" si="3"/>
        <v>72</v>
      </c>
    </row>
    <row r="105" spans="1:20" x14ac:dyDescent="0.3">
      <c r="A105">
        <v>104</v>
      </c>
      <c r="B105" s="4">
        <v>44757</v>
      </c>
      <c r="C105" s="5">
        <v>44757</v>
      </c>
      <c r="D105">
        <v>6464</v>
      </c>
      <c r="E105" t="s">
        <v>103</v>
      </c>
      <c r="F105">
        <v>22708</v>
      </c>
      <c r="G105" t="s">
        <v>192</v>
      </c>
      <c r="H105" t="s">
        <v>53</v>
      </c>
      <c r="I105" t="s">
        <v>297</v>
      </c>
      <c r="J105" t="s">
        <v>296</v>
      </c>
      <c r="K105" t="s">
        <v>19</v>
      </c>
      <c r="L105" t="s">
        <v>20</v>
      </c>
      <c r="N105" s="1">
        <v>7.5</v>
      </c>
      <c r="O105" s="6">
        <v>5</v>
      </c>
      <c r="P105" s="7">
        <f t="shared" si="2"/>
        <v>37.5</v>
      </c>
      <c r="Q105">
        <v>2</v>
      </c>
      <c r="R105" s="4" t="s">
        <v>71</v>
      </c>
      <c r="S105" s="8">
        <v>0.06</v>
      </c>
      <c r="T105" s="7">
        <f t="shared" si="3"/>
        <v>35.25</v>
      </c>
    </row>
    <row r="106" spans="1:20" x14ac:dyDescent="0.3">
      <c r="A106">
        <v>105</v>
      </c>
      <c r="B106" s="4">
        <v>44757</v>
      </c>
      <c r="C106" s="5">
        <v>44757</v>
      </c>
      <c r="D106">
        <v>6357</v>
      </c>
      <c r="E106" t="s">
        <v>98</v>
      </c>
      <c r="F106">
        <v>17972</v>
      </c>
      <c r="G106" t="s">
        <v>212</v>
      </c>
      <c r="H106" t="s">
        <v>51</v>
      </c>
      <c r="I106" t="s">
        <v>298</v>
      </c>
      <c r="J106" t="s">
        <v>296</v>
      </c>
      <c r="K106" t="s">
        <v>9</v>
      </c>
      <c r="L106" t="s">
        <v>10</v>
      </c>
      <c r="N106" s="1">
        <v>5.95</v>
      </c>
      <c r="O106" s="6">
        <v>9</v>
      </c>
      <c r="P106" s="7">
        <f t="shared" si="2"/>
        <v>53.550000000000004</v>
      </c>
      <c r="Q106">
        <v>4</v>
      </c>
      <c r="R106" s="4" t="s">
        <v>66</v>
      </c>
      <c r="S106" s="8">
        <v>0.1</v>
      </c>
      <c r="T106" s="7">
        <f t="shared" si="3"/>
        <v>48.195000000000007</v>
      </c>
    </row>
    <row r="107" spans="1:20" x14ac:dyDescent="0.3">
      <c r="A107">
        <v>106</v>
      </c>
      <c r="B107" s="4">
        <v>44757</v>
      </c>
      <c r="C107" s="5">
        <v>44757</v>
      </c>
      <c r="D107">
        <v>5418</v>
      </c>
      <c r="E107" t="s">
        <v>97</v>
      </c>
      <c r="F107">
        <v>10523</v>
      </c>
      <c r="G107" t="s">
        <v>213</v>
      </c>
      <c r="H107" t="s">
        <v>52</v>
      </c>
      <c r="I107" t="s">
        <v>297</v>
      </c>
      <c r="J107" t="s">
        <v>296</v>
      </c>
      <c r="K107" t="s">
        <v>14</v>
      </c>
      <c r="L107" t="s">
        <v>15</v>
      </c>
      <c r="N107" s="1">
        <v>9.5</v>
      </c>
      <c r="O107" s="6">
        <v>2</v>
      </c>
      <c r="P107" s="7">
        <f t="shared" si="2"/>
        <v>19</v>
      </c>
      <c r="Q107">
        <v>1</v>
      </c>
      <c r="R107" s="4" t="s">
        <v>70</v>
      </c>
      <c r="S107" s="8">
        <v>0.05</v>
      </c>
      <c r="T107" s="7">
        <f t="shared" si="3"/>
        <v>18.05</v>
      </c>
    </row>
    <row r="108" spans="1:20" x14ac:dyDescent="0.3">
      <c r="A108">
        <v>107</v>
      </c>
      <c r="B108" s="4">
        <v>44757</v>
      </c>
      <c r="C108" s="5">
        <v>44757</v>
      </c>
      <c r="D108">
        <v>6678</v>
      </c>
      <c r="E108" t="s">
        <v>102</v>
      </c>
      <c r="F108">
        <v>15353</v>
      </c>
      <c r="G108" t="s">
        <v>138</v>
      </c>
      <c r="H108" t="s">
        <v>52</v>
      </c>
      <c r="I108" t="s">
        <v>297</v>
      </c>
      <c r="J108" t="s">
        <v>296</v>
      </c>
      <c r="K108" t="s">
        <v>16</v>
      </c>
      <c r="L108" t="s">
        <v>17</v>
      </c>
      <c r="N108" s="1">
        <v>10</v>
      </c>
      <c r="O108" s="6">
        <v>4</v>
      </c>
      <c r="P108" s="7">
        <f t="shared" si="2"/>
        <v>40</v>
      </c>
      <c r="Q108">
        <v>4</v>
      </c>
      <c r="R108" s="4" t="s">
        <v>66</v>
      </c>
      <c r="S108" s="8">
        <v>0.1</v>
      </c>
      <c r="T108" s="7">
        <f t="shared" si="3"/>
        <v>36</v>
      </c>
    </row>
    <row r="109" spans="1:20" x14ac:dyDescent="0.3">
      <c r="A109">
        <v>108</v>
      </c>
      <c r="B109" s="4">
        <v>44758</v>
      </c>
      <c r="C109" s="5">
        <v>44758</v>
      </c>
      <c r="D109">
        <v>8064</v>
      </c>
      <c r="E109" t="s">
        <v>90</v>
      </c>
      <c r="F109">
        <v>21702</v>
      </c>
      <c r="G109" t="s">
        <v>214</v>
      </c>
      <c r="H109" t="s">
        <v>51</v>
      </c>
      <c r="I109" t="s">
        <v>298</v>
      </c>
      <c r="J109" t="s">
        <v>296</v>
      </c>
      <c r="K109" t="s">
        <v>21</v>
      </c>
      <c r="L109" t="s">
        <v>22</v>
      </c>
      <c r="N109" s="1">
        <v>7.5</v>
      </c>
      <c r="O109" s="6">
        <v>7</v>
      </c>
      <c r="P109" s="7">
        <f t="shared" si="2"/>
        <v>52.5</v>
      </c>
      <c r="Q109">
        <v>0</v>
      </c>
      <c r="R109" s="4" t="s">
        <v>67</v>
      </c>
      <c r="S109" s="8">
        <v>0</v>
      </c>
      <c r="T109" s="7">
        <f t="shared" si="3"/>
        <v>52.5</v>
      </c>
    </row>
    <row r="110" spans="1:20" x14ac:dyDescent="0.3">
      <c r="A110">
        <v>109</v>
      </c>
      <c r="B110" s="4">
        <v>44758</v>
      </c>
      <c r="C110" s="5">
        <v>44758</v>
      </c>
      <c r="D110">
        <v>5418</v>
      </c>
      <c r="E110" t="s">
        <v>97</v>
      </c>
      <c r="F110">
        <v>11124</v>
      </c>
      <c r="G110" t="s">
        <v>132</v>
      </c>
      <c r="H110" t="s">
        <v>57</v>
      </c>
      <c r="I110" t="s">
        <v>297</v>
      </c>
      <c r="J110" t="s">
        <v>296</v>
      </c>
      <c r="K110" t="s">
        <v>25</v>
      </c>
      <c r="L110" t="s">
        <v>26</v>
      </c>
      <c r="N110" s="1">
        <v>8</v>
      </c>
      <c r="O110" s="6">
        <v>7</v>
      </c>
      <c r="P110" s="7">
        <f t="shared" si="2"/>
        <v>56</v>
      </c>
      <c r="Q110">
        <v>3</v>
      </c>
      <c r="R110" s="4" t="s">
        <v>68</v>
      </c>
      <c r="S110" s="8">
        <v>0.08</v>
      </c>
      <c r="T110" s="7">
        <f t="shared" si="3"/>
        <v>51.519999999999996</v>
      </c>
    </row>
    <row r="111" spans="1:20" x14ac:dyDescent="0.3">
      <c r="A111">
        <v>110</v>
      </c>
      <c r="B111" s="4">
        <v>44758</v>
      </c>
      <c r="C111" s="5">
        <v>44758</v>
      </c>
      <c r="D111">
        <v>5400</v>
      </c>
      <c r="E111" t="s">
        <v>99</v>
      </c>
      <c r="F111">
        <v>13321</v>
      </c>
      <c r="G111" t="s">
        <v>215</v>
      </c>
      <c r="H111" t="s">
        <v>61</v>
      </c>
      <c r="I111" t="s">
        <v>297</v>
      </c>
      <c r="J111" t="s">
        <v>296</v>
      </c>
      <c r="K111" t="s">
        <v>23</v>
      </c>
      <c r="L111" t="s">
        <v>24</v>
      </c>
      <c r="N111" s="1">
        <v>7.5</v>
      </c>
      <c r="O111" s="6">
        <v>5</v>
      </c>
      <c r="P111" s="7">
        <f t="shared" si="2"/>
        <v>37.5</v>
      </c>
      <c r="Q111">
        <v>2</v>
      </c>
      <c r="R111" s="4" t="s">
        <v>71</v>
      </c>
      <c r="S111" s="8">
        <v>0.06</v>
      </c>
      <c r="T111" s="7">
        <f t="shared" si="3"/>
        <v>35.25</v>
      </c>
    </row>
    <row r="112" spans="1:20" x14ac:dyDescent="0.3">
      <c r="A112">
        <v>111</v>
      </c>
      <c r="B112" s="4">
        <v>44758</v>
      </c>
      <c r="C112" s="5">
        <v>44758</v>
      </c>
      <c r="D112">
        <v>8064</v>
      </c>
      <c r="E112" t="s">
        <v>90</v>
      </c>
      <c r="F112">
        <v>23827</v>
      </c>
      <c r="G112" t="s">
        <v>216</v>
      </c>
      <c r="H112" t="s">
        <v>60</v>
      </c>
      <c r="I112" t="s">
        <v>297</v>
      </c>
      <c r="J112" t="s">
        <v>296</v>
      </c>
      <c r="K112" t="s">
        <v>25</v>
      </c>
      <c r="L112" t="s">
        <v>26</v>
      </c>
      <c r="N112" s="1">
        <v>8</v>
      </c>
      <c r="O112" s="6">
        <v>5</v>
      </c>
      <c r="P112" s="7">
        <f t="shared" si="2"/>
        <v>40</v>
      </c>
      <c r="Q112">
        <v>0</v>
      </c>
      <c r="R112" s="4" t="s">
        <v>67</v>
      </c>
      <c r="S112" s="8">
        <v>0</v>
      </c>
      <c r="T112" s="7">
        <f t="shared" si="3"/>
        <v>40</v>
      </c>
    </row>
    <row r="113" spans="1:20" x14ac:dyDescent="0.3">
      <c r="A113">
        <v>112</v>
      </c>
      <c r="B113" s="4">
        <v>44758</v>
      </c>
      <c r="C113" s="5">
        <v>44758</v>
      </c>
      <c r="D113">
        <v>6892</v>
      </c>
      <c r="E113" t="s">
        <v>93</v>
      </c>
      <c r="F113">
        <v>25929</v>
      </c>
      <c r="G113" t="s">
        <v>141</v>
      </c>
      <c r="H113" t="s">
        <v>63</v>
      </c>
      <c r="I113" t="s">
        <v>297</v>
      </c>
      <c r="J113" t="s">
        <v>296</v>
      </c>
      <c r="K113" t="s">
        <v>28</v>
      </c>
      <c r="L113" t="s">
        <v>29</v>
      </c>
      <c r="N113" s="1">
        <v>12</v>
      </c>
      <c r="O113" s="6">
        <v>10</v>
      </c>
      <c r="P113" s="7">
        <f t="shared" si="2"/>
        <v>120</v>
      </c>
      <c r="Q113">
        <v>0</v>
      </c>
      <c r="R113" s="4" t="s">
        <v>67</v>
      </c>
      <c r="S113" s="8">
        <v>0</v>
      </c>
      <c r="T113" s="7">
        <f t="shared" si="3"/>
        <v>120</v>
      </c>
    </row>
    <row r="114" spans="1:20" x14ac:dyDescent="0.3">
      <c r="A114">
        <v>113</v>
      </c>
      <c r="B114" s="4">
        <v>44759</v>
      </c>
      <c r="C114" s="5">
        <v>44759</v>
      </c>
      <c r="D114">
        <v>6678</v>
      </c>
      <c r="E114" t="s">
        <v>102</v>
      </c>
      <c r="F114">
        <v>16741</v>
      </c>
      <c r="G114" t="s">
        <v>217</v>
      </c>
      <c r="H114" t="s">
        <v>58</v>
      </c>
      <c r="I114" t="s">
        <v>299</v>
      </c>
      <c r="J114" t="s">
        <v>296</v>
      </c>
      <c r="K114" t="s">
        <v>21</v>
      </c>
      <c r="L114" t="s">
        <v>22</v>
      </c>
      <c r="N114" s="1">
        <v>7.5</v>
      </c>
      <c r="O114" s="6">
        <v>2</v>
      </c>
      <c r="P114" s="7">
        <f t="shared" si="2"/>
        <v>15</v>
      </c>
      <c r="Q114">
        <v>3</v>
      </c>
      <c r="R114" s="4" t="s">
        <v>68</v>
      </c>
      <c r="S114" s="8">
        <v>0.08</v>
      </c>
      <c r="T114" s="7">
        <f t="shared" si="3"/>
        <v>13.8</v>
      </c>
    </row>
    <row r="115" spans="1:20" x14ac:dyDescent="0.3">
      <c r="A115">
        <v>114</v>
      </c>
      <c r="B115" s="4">
        <v>44759</v>
      </c>
      <c r="C115" s="5">
        <v>44759</v>
      </c>
      <c r="D115">
        <v>6571</v>
      </c>
      <c r="E115" t="s">
        <v>96</v>
      </c>
      <c r="F115">
        <v>21803</v>
      </c>
      <c r="G115" t="s">
        <v>218</v>
      </c>
      <c r="H115" t="s">
        <v>49</v>
      </c>
      <c r="I115" t="s">
        <v>297</v>
      </c>
      <c r="J115" t="s">
        <v>296</v>
      </c>
      <c r="K115" t="s">
        <v>19</v>
      </c>
      <c r="L115" t="s">
        <v>20</v>
      </c>
      <c r="N115" s="1">
        <v>7.5</v>
      </c>
      <c r="O115" s="6">
        <v>2</v>
      </c>
      <c r="P115" s="7">
        <f t="shared" si="2"/>
        <v>15</v>
      </c>
      <c r="Q115">
        <v>0</v>
      </c>
      <c r="R115" s="4" t="s">
        <v>67</v>
      </c>
      <c r="S115" s="8">
        <v>0</v>
      </c>
      <c r="T115" s="7">
        <f t="shared" si="3"/>
        <v>15</v>
      </c>
    </row>
    <row r="116" spans="1:20" x14ac:dyDescent="0.3">
      <c r="A116">
        <v>115</v>
      </c>
      <c r="B116" s="4">
        <v>44759</v>
      </c>
      <c r="C116" s="5">
        <v>44759</v>
      </c>
      <c r="D116">
        <v>4350</v>
      </c>
      <c r="E116" t="s">
        <v>100</v>
      </c>
      <c r="F116">
        <v>20177</v>
      </c>
      <c r="G116" t="s">
        <v>168</v>
      </c>
      <c r="H116" t="s">
        <v>54</v>
      </c>
      <c r="I116" t="s">
        <v>297</v>
      </c>
      <c r="J116" t="s">
        <v>296</v>
      </c>
      <c r="K116" t="s">
        <v>28</v>
      </c>
      <c r="L116" t="s">
        <v>29</v>
      </c>
      <c r="N116" s="1">
        <v>12</v>
      </c>
      <c r="O116" s="6">
        <v>1</v>
      </c>
      <c r="P116" s="7">
        <f t="shared" si="2"/>
        <v>12</v>
      </c>
      <c r="Q116">
        <v>2</v>
      </c>
      <c r="R116" s="4" t="s">
        <v>71</v>
      </c>
      <c r="S116" s="8">
        <v>0.06</v>
      </c>
      <c r="T116" s="7">
        <f t="shared" si="3"/>
        <v>11.28</v>
      </c>
    </row>
    <row r="117" spans="1:20" x14ac:dyDescent="0.3">
      <c r="A117">
        <v>116</v>
      </c>
      <c r="B117" s="4">
        <v>44760</v>
      </c>
      <c r="C117" s="5">
        <v>44760</v>
      </c>
      <c r="D117">
        <v>8064</v>
      </c>
      <c r="E117" t="s">
        <v>90</v>
      </c>
      <c r="F117">
        <v>24142</v>
      </c>
      <c r="G117" t="s">
        <v>181</v>
      </c>
      <c r="H117" t="s">
        <v>47</v>
      </c>
      <c r="I117" t="s">
        <v>297</v>
      </c>
      <c r="J117" t="s">
        <v>296</v>
      </c>
      <c r="K117" t="s">
        <v>9</v>
      </c>
      <c r="L117" t="s">
        <v>10</v>
      </c>
      <c r="N117" s="1">
        <v>5.95</v>
      </c>
      <c r="O117" s="6">
        <v>8</v>
      </c>
      <c r="P117" s="7">
        <f t="shared" si="2"/>
        <v>47.6</v>
      </c>
      <c r="Q117">
        <v>2</v>
      </c>
      <c r="R117" s="4" t="s">
        <v>71</v>
      </c>
      <c r="S117" s="8">
        <v>0.06</v>
      </c>
      <c r="T117" s="7">
        <f t="shared" si="3"/>
        <v>44.744</v>
      </c>
    </row>
    <row r="118" spans="1:20" x14ac:dyDescent="0.3">
      <c r="A118">
        <v>117</v>
      </c>
      <c r="B118" s="4">
        <v>44760</v>
      </c>
      <c r="C118" s="5">
        <v>44760</v>
      </c>
      <c r="D118">
        <v>6143</v>
      </c>
      <c r="E118" t="s">
        <v>104</v>
      </c>
      <c r="F118">
        <v>10550</v>
      </c>
      <c r="G118" t="s">
        <v>219</v>
      </c>
      <c r="H118" t="s">
        <v>59</v>
      </c>
      <c r="I118" t="s">
        <v>297</v>
      </c>
      <c r="J118" t="s">
        <v>296</v>
      </c>
      <c r="K118" t="s">
        <v>25</v>
      </c>
      <c r="L118" t="s">
        <v>26</v>
      </c>
      <c r="N118" s="1">
        <v>8</v>
      </c>
      <c r="O118" s="6">
        <v>3</v>
      </c>
      <c r="P118" s="7">
        <f t="shared" si="2"/>
        <v>24</v>
      </c>
      <c r="Q118">
        <v>2</v>
      </c>
      <c r="R118" s="4" t="s">
        <v>71</v>
      </c>
      <c r="S118" s="8">
        <v>0.06</v>
      </c>
      <c r="T118" s="7">
        <f t="shared" si="3"/>
        <v>22.56</v>
      </c>
    </row>
    <row r="119" spans="1:20" x14ac:dyDescent="0.3">
      <c r="A119">
        <v>118</v>
      </c>
      <c r="B119" s="4">
        <v>44762</v>
      </c>
      <c r="C119" s="5">
        <v>44762</v>
      </c>
      <c r="D119">
        <v>6464</v>
      </c>
      <c r="E119" t="s">
        <v>103</v>
      </c>
      <c r="F119">
        <v>10828</v>
      </c>
      <c r="G119" t="s">
        <v>220</v>
      </c>
      <c r="H119" t="s">
        <v>49</v>
      </c>
      <c r="I119" t="s">
        <v>297</v>
      </c>
      <c r="J119" t="s">
        <v>296</v>
      </c>
      <c r="K119" t="s">
        <v>21</v>
      </c>
      <c r="L119" t="s">
        <v>22</v>
      </c>
      <c r="N119" s="1">
        <v>7.5</v>
      </c>
      <c r="O119" s="6">
        <v>8</v>
      </c>
      <c r="P119" s="7">
        <f t="shared" si="2"/>
        <v>60</v>
      </c>
      <c r="Q119">
        <v>3</v>
      </c>
      <c r="R119" s="4" t="s">
        <v>68</v>
      </c>
      <c r="S119" s="8">
        <v>0.08</v>
      </c>
      <c r="T119" s="7">
        <f t="shared" si="3"/>
        <v>55.2</v>
      </c>
    </row>
    <row r="120" spans="1:20" x14ac:dyDescent="0.3">
      <c r="A120">
        <v>119</v>
      </c>
      <c r="B120" s="4">
        <v>44762</v>
      </c>
      <c r="C120" s="5">
        <v>44762</v>
      </c>
      <c r="D120">
        <v>8064</v>
      </c>
      <c r="E120" t="s">
        <v>90</v>
      </c>
      <c r="F120">
        <v>10734</v>
      </c>
      <c r="G120" t="s">
        <v>221</v>
      </c>
      <c r="H120" t="s">
        <v>51</v>
      </c>
      <c r="I120" t="s">
        <v>298</v>
      </c>
      <c r="J120" t="s">
        <v>296</v>
      </c>
      <c r="K120" t="s">
        <v>14</v>
      </c>
      <c r="L120" t="s">
        <v>15</v>
      </c>
      <c r="N120" s="1">
        <v>9.5</v>
      </c>
      <c r="O120" s="6">
        <v>7</v>
      </c>
      <c r="P120" s="7">
        <f t="shared" si="2"/>
        <v>66.5</v>
      </c>
      <c r="Q120">
        <v>2</v>
      </c>
      <c r="R120" s="4" t="s">
        <v>71</v>
      </c>
      <c r="S120" s="8">
        <v>0.06</v>
      </c>
      <c r="T120" s="7">
        <f t="shared" si="3"/>
        <v>62.51</v>
      </c>
    </row>
    <row r="121" spans="1:20" x14ac:dyDescent="0.3">
      <c r="A121">
        <v>120</v>
      </c>
      <c r="B121" s="4">
        <v>44762</v>
      </c>
      <c r="C121" s="5">
        <v>44762</v>
      </c>
      <c r="D121">
        <v>4350</v>
      </c>
      <c r="E121" t="s">
        <v>100</v>
      </c>
      <c r="F121">
        <v>26512</v>
      </c>
      <c r="G121" t="s">
        <v>222</v>
      </c>
      <c r="H121" t="s">
        <v>54</v>
      </c>
      <c r="I121" t="s">
        <v>297</v>
      </c>
      <c r="J121" t="s">
        <v>296</v>
      </c>
      <c r="K121" t="s">
        <v>19</v>
      </c>
      <c r="L121" t="s">
        <v>20</v>
      </c>
      <c r="N121" s="1">
        <v>7.5</v>
      </c>
      <c r="O121" s="6">
        <v>1</v>
      </c>
      <c r="P121" s="7">
        <f t="shared" si="2"/>
        <v>7.5</v>
      </c>
      <c r="Q121">
        <v>5</v>
      </c>
      <c r="R121" s="4" t="s">
        <v>69</v>
      </c>
      <c r="S121" s="8">
        <v>0.15</v>
      </c>
      <c r="T121" s="7">
        <f t="shared" si="3"/>
        <v>6.375</v>
      </c>
    </row>
    <row r="122" spans="1:20" x14ac:dyDescent="0.3">
      <c r="A122">
        <v>121</v>
      </c>
      <c r="B122" s="4">
        <v>44763</v>
      </c>
      <c r="C122" s="5">
        <v>44763</v>
      </c>
      <c r="D122">
        <v>5400</v>
      </c>
      <c r="E122" t="s">
        <v>99</v>
      </c>
      <c r="F122">
        <v>18195</v>
      </c>
      <c r="G122" t="s">
        <v>223</v>
      </c>
      <c r="H122" t="s">
        <v>56</v>
      </c>
      <c r="I122" t="s">
        <v>297</v>
      </c>
      <c r="J122" t="s">
        <v>296</v>
      </c>
      <c r="K122" t="s">
        <v>5</v>
      </c>
      <c r="L122" t="s">
        <v>6</v>
      </c>
      <c r="N122" s="1">
        <v>5.95</v>
      </c>
      <c r="O122" s="6">
        <v>2</v>
      </c>
      <c r="P122" s="7">
        <f t="shared" si="2"/>
        <v>11.9</v>
      </c>
      <c r="Q122">
        <v>1</v>
      </c>
      <c r="R122" s="4" t="s">
        <v>70</v>
      </c>
      <c r="S122" s="8">
        <v>0.05</v>
      </c>
      <c r="T122" s="7">
        <f t="shared" si="3"/>
        <v>11.305</v>
      </c>
    </row>
    <row r="123" spans="1:20" x14ac:dyDescent="0.3">
      <c r="A123">
        <v>122</v>
      </c>
      <c r="B123" s="4">
        <v>44765</v>
      </c>
      <c r="C123" s="5">
        <v>44765</v>
      </c>
      <c r="D123">
        <v>6678</v>
      </c>
      <c r="E123" t="s">
        <v>102</v>
      </c>
      <c r="F123">
        <v>23531</v>
      </c>
      <c r="G123" t="s">
        <v>224</v>
      </c>
      <c r="H123" t="s">
        <v>49</v>
      </c>
      <c r="I123" t="s">
        <v>297</v>
      </c>
      <c r="J123" t="s">
        <v>296</v>
      </c>
      <c r="K123" t="s">
        <v>9</v>
      </c>
      <c r="L123" t="s">
        <v>10</v>
      </c>
      <c r="N123" s="1">
        <v>5.95</v>
      </c>
      <c r="O123" s="6">
        <v>1</v>
      </c>
      <c r="P123" s="7">
        <f t="shared" si="2"/>
        <v>5.95</v>
      </c>
      <c r="Q123">
        <v>3</v>
      </c>
      <c r="R123" s="4" t="s">
        <v>68</v>
      </c>
      <c r="S123" s="8">
        <v>0.08</v>
      </c>
      <c r="T123" s="7">
        <f t="shared" si="3"/>
        <v>5.4740000000000002</v>
      </c>
    </row>
    <row r="124" spans="1:20" x14ac:dyDescent="0.3">
      <c r="A124">
        <v>123</v>
      </c>
      <c r="B124" s="4">
        <v>44765</v>
      </c>
      <c r="C124" s="5">
        <v>44765</v>
      </c>
      <c r="D124">
        <v>6678</v>
      </c>
      <c r="E124" t="s">
        <v>102</v>
      </c>
      <c r="F124">
        <v>19112</v>
      </c>
      <c r="G124" t="s">
        <v>201</v>
      </c>
      <c r="H124" t="s">
        <v>61</v>
      </c>
      <c r="I124" t="s">
        <v>297</v>
      </c>
      <c r="J124" t="s">
        <v>296</v>
      </c>
      <c r="K124" t="s">
        <v>12</v>
      </c>
      <c r="L124" t="s">
        <v>17</v>
      </c>
      <c r="N124" s="1">
        <v>10</v>
      </c>
      <c r="O124" s="6">
        <v>7</v>
      </c>
      <c r="P124" s="7">
        <f t="shared" si="2"/>
        <v>70</v>
      </c>
      <c r="Q124">
        <v>0</v>
      </c>
      <c r="R124" s="4" t="s">
        <v>67</v>
      </c>
      <c r="S124" s="8">
        <v>0</v>
      </c>
      <c r="T124" s="7">
        <f t="shared" si="3"/>
        <v>70</v>
      </c>
    </row>
    <row r="125" spans="1:20" x14ac:dyDescent="0.3">
      <c r="A125">
        <v>124</v>
      </c>
      <c r="B125" s="4">
        <v>44765</v>
      </c>
      <c r="C125" s="5">
        <v>44765</v>
      </c>
      <c r="D125">
        <v>6143</v>
      </c>
      <c r="E125" t="s">
        <v>104</v>
      </c>
      <c r="F125">
        <v>21321</v>
      </c>
      <c r="G125" t="s">
        <v>225</v>
      </c>
      <c r="H125" t="s">
        <v>60</v>
      </c>
      <c r="I125" t="s">
        <v>297</v>
      </c>
      <c r="J125" t="s">
        <v>296</v>
      </c>
      <c r="K125" t="s">
        <v>16</v>
      </c>
      <c r="L125" t="s">
        <v>17</v>
      </c>
      <c r="N125" s="1">
        <v>10</v>
      </c>
      <c r="O125" s="6">
        <v>1</v>
      </c>
      <c r="P125" s="7">
        <f t="shared" si="2"/>
        <v>10</v>
      </c>
      <c r="Q125">
        <v>5</v>
      </c>
      <c r="R125" s="4" t="s">
        <v>69</v>
      </c>
      <c r="S125" s="8">
        <v>0.15</v>
      </c>
      <c r="T125" s="7">
        <f t="shared" si="3"/>
        <v>8.5</v>
      </c>
    </row>
    <row r="126" spans="1:20" x14ac:dyDescent="0.3">
      <c r="A126">
        <v>125</v>
      </c>
      <c r="B126" s="4">
        <v>44765</v>
      </c>
      <c r="C126" s="5">
        <v>44765</v>
      </c>
      <c r="D126">
        <v>6678</v>
      </c>
      <c r="E126" t="s">
        <v>102</v>
      </c>
      <c r="F126">
        <v>20051</v>
      </c>
      <c r="G126" t="s">
        <v>160</v>
      </c>
      <c r="H126" t="s">
        <v>48</v>
      </c>
      <c r="I126" t="s">
        <v>297</v>
      </c>
      <c r="J126" t="s">
        <v>296</v>
      </c>
      <c r="K126" t="s">
        <v>32</v>
      </c>
      <c r="L126" t="s">
        <v>33</v>
      </c>
      <c r="N126" s="1">
        <v>12</v>
      </c>
      <c r="O126" s="6">
        <v>2</v>
      </c>
      <c r="P126" s="7">
        <f t="shared" si="2"/>
        <v>24</v>
      </c>
      <c r="Q126">
        <v>1</v>
      </c>
      <c r="R126" s="4" t="s">
        <v>70</v>
      </c>
      <c r="S126" s="8">
        <v>0.05</v>
      </c>
      <c r="T126" s="7">
        <f t="shared" si="3"/>
        <v>22.8</v>
      </c>
    </row>
    <row r="127" spans="1:20" x14ac:dyDescent="0.3">
      <c r="A127">
        <v>126</v>
      </c>
      <c r="B127" s="4">
        <v>44765</v>
      </c>
      <c r="C127" s="5">
        <v>44765</v>
      </c>
      <c r="D127">
        <v>5454</v>
      </c>
      <c r="E127" t="s">
        <v>91</v>
      </c>
      <c r="F127">
        <v>25772</v>
      </c>
      <c r="G127" t="s">
        <v>226</v>
      </c>
      <c r="H127" t="s">
        <v>62</v>
      </c>
      <c r="I127" t="s">
        <v>297</v>
      </c>
      <c r="J127" t="s">
        <v>296</v>
      </c>
      <c r="K127" t="s">
        <v>32</v>
      </c>
      <c r="L127" t="s">
        <v>33</v>
      </c>
      <c r="N127" s="1">
        <v>12</v>
      </c>
      <c r="O127" s="6">
        <v>5</v>
      </c>
      <c r="P127" s="7">
        <f t="shared" si="2"/>
        <v>60</v>
      </c>
      <c r="Q127">
        <v>2</v>
      </c>
      <c r="R127" s="4" t="s">
        <v>71</v>
      </c>
      <c r="S127" s="8">
        <v>0.06</v>
      </c>
      <c r="T127" s="7">
        <f t="shared" si="3"/>
        <v>56.4</v>
      </c>
    </row>
    <row r="128" spans="1:20" x14ac:dyDescent="0.3">
      <c r="A128">
        <v>127</v>
      </c>
      <c r="B128" s="4">
        <v>44765</v>
      </c>
      <c r="C128" s="5">
        <v>44765</v>
      </c>
      <c r="D128">
        <v>8064</v>
      </c>
      <c r="E128" t="s">
        <v>90</v>
      </c>
      <c r="F128">
        <v>17610</v>
      </c>
      <c r="G128" t="s">
        <v>227</v>
      </c>
      <c r="H128" t="s">
        <v>54</v>
      </c>
      <c r="I128" t="s">
        <v>297</v>
      </c>
      <c r="J128" t="s">
        <v>296</v>
      </c>
      <c r="K128" t="s">
        <v>32</v>
      </c>
      <c r="L128" t="s">
        <v>33</v>
      </c>
      <c r="N128" s="1">
        <v>12</v>
      </c>
      <c r="O128" s="6">
        <v>10</v>
      </c>
      <c r="P128" s="7">
        <f t="shared" si="2"/>
        <v>120</v>
      </c>
      <c r="Q128">
        <v>0</v>
      </c>
      <c r="R128" s="4" t="s">
        <v>67</v>
      </c>
      <c r="S128" s="8">
        <v>0</v>
      </c>
      <c r="T128" s="7">
        <f t="shared" si="3"/>
        <v>120</v>
      </c>
    </row>
    <row r="129" spans="1:20" x14ac:dyDescent="0.3">
      <c r="A129">
        <v>128</v>
      </c>
      <c r="B129" s="4">
        <v>44766</v>
      </c>
      <c r="C129" s="5">
        <v>44766</v>
      </c>
      <c r="D129">
        <v>1384</v>
      </c>
      <c r="E129" t="s">
        <v>95</v>
      </c>
      <c r="F129">
        <v>14342</v>
      </c>
      <c r="G129" t="s">
        <v>228</v>
      </c>
      <c r="H129" t="s">
        <v>50</v>
      </c>
      <c r="I129" t="s">
        <v>297</v>
      </c>
      <c r="J129" t="s">
        <v>296</v>
      </c>
      <c r="K129" t="s">
        <v>21</v>
      </c>
      <c r="L129" t="s">
        <v>22</v>
      </c>
      <c r="N129" s="1">
        <v>7.5</v>
      </c>
      <c r="O129" s="6">
        <v>4</v>
      </c>
      <c r="P129" s="7">
        <f t="shared" si="2"/>
        <v>30</v>
      </c>
      <c r="Q129">
        <v>0</v>
      </c>
      <c r="R129" s="4" t="s">
        <v>67</v>
      </c>
      <c r="S129" s="8">
        <v>0</v>
      </c>
      <c r="T129" s="7">
        <f t="shared" si="3"/>
        <v>30</v>
      </c>
    </row>
    <row r="130" spans="1:20" x14ac:dyDescent="0.3">
      <c r="A130">
        <v>129</v>
      </c>
      <c r="B130" s="4">
        <v>44766</v>
      </c>
      <c r="C130" s="5">
        <v>44766</v>
      </c>
      <c r="D130">
        <v>6143</v>
      </c>
      <c r="E130" t="s">
        <v>104</v>
      </c>
      <c r="F130">
        <v>22912</v>
      </c>
      <c r="G130" t="s">
        <v>229</v>
      </c>
      <c r="H130" t="s">
        <v>55</v>
      </c>
      <c r="I130" t="s">
        <v>297</v>
      </c>
      <c r="J130" t="s">
        <v>296</v>
      </c>
      <c r="K130" t="s">
        <v>16</v>
      </c>
      <c r="L130" t="s">
        <v>17</v>
      </c>
      <c r="N130" s="1">
        <v>10</v>
      </c>
      <c r="O130" s="6">
        <v>6</v>
      </c>
      <c r="P130" s="7">
        <f t="shared" ref="P130:P193" si="4">N130*O130</f>
        <v>60</v>
      </c>
      <c r="Q130">
        <v>4</v>
      </c>
      <c r="R130" s="4" t="s">
        <v>66</v>
      </c>
      <c r="S130" s="8">
        <v>0.1</v>
      </c>
      <c r="T130" s="7">
        <f t="shared" ref="T130:T193" si="5">P130-P130*S130</f>
        <v>54</v>
      </c>
    </row>
    <row r="131" spans="1:20" x14ac:dyDescent="0.3">
      <c r="A131">
        <v>130</v>
      </c>
      <c r="B131" s="4">
        <v>44766</v>
      </c>
      <c r="C131" s="5">
        <v>44766</v>
      </c>
      <c r="D131">
        <v>6678</v>
      </c>
      <c r="E131" t="s">
        <v>102</v>
      </c>
      <c r="F131">
        <v>10793</v>
      </c>
      <c r="G131" t="s">
        <v>230</v>
      </c>
      <c r="H131" t="s">
        <v>53</v>
      </c>
      <c r="I131" t="s">
        <v>297</v>
      </c>
      <c r="J131" t="s">
        <v>296</v>
      </c>
      <c r="K131" t="s">
        <v>12</v>
      </c>
      <c r="L131" t="s">
        <v>13</v>
      </c>
      <c r="N131" s="1">
        <v>9</v>
      </c>
      <c r="O131" s="6">
        <v>2</v>
      </c>
      <c r="P131" s="7">
        <f t="shared" si="4"/>
        <v>18</v>
      </c>
      <c r="Q131">
        <v>1</v>
      </c>
      <c r="R131" s="4" t="s">
        <v>70</v>
      </c>
      <c r="S131" s="8">
        <v>0.05</v>
      </c>
      <c r="T131" s="7">
        <f t="shared" si="5"/>
        <v>17.100000000000001</v>
      </c>
    </row>
    <row r="132" spans="1:20" x14ac:dyDescent="0.3">
      <c r="A132">
        <v>131</v>
      </c>
      <c r="B132" s="4">
        <v>44767</v>
      </c>
      <c r="C132" s="5">
        <v>44767</v>
      </c>
      <c r="D132">
        <v>5400</v>
      </c>
      <c r="E132" t="s">
        <v>99</v>
      </c>
      <c r="F132">
        <v>25329</v>
      </c>
      <c r="G132" t="s">
        <v>231</v>
      </c>
      <c r="H132" t="s">
        <v>48</v>
      </c>
      <c r="I132" t="s">
        <v>297</v>
      </c>
      <c r="J132" t="s">
        <v>296</v>
      </c>
      <c r="K132" t="s">
        <v>25</v>
      </c>
      <c r="L132" t="s">
        <v>26</v>
      </c>
      <c r="N132" s="1">
        <v>8</v>
      </c>
      <c r="O132" s="6">
        <v>10</v>
      </c>
      <c r="P132" s="7">
        <f t="shared" si="4"/>
        <v>80</v>
      </c>
      <c r="Q132">
        <v>1</v>
      </c>
      <c r="R132" s="4" t="s">
        <v>70</v>
      </c>
      <c r="S132" s="8">
        <v>0.05</v>
      </c>
      <c r="T132" s="7">
        <f t="shared" si="5"/>
        <v>76</v>
      </c>
    </row>
    <row r="133" spans="1:20" x14ac:dyDescent="0.3">
      <c r="A133">
        <v>132</v>
      </c>
      <c r="B133" s="4">
        <v>44768</v>
      </c>
      <c r="C133" s="5">
        <v>44768</v>
      </c>
      <c r="D133">
        <v>6143</v>
      </c>
      <c r="E133" t="s">
        <v>104</v>
      </c>
      <c r="F133">
        <v>20051</v>
      </c>
      <c r="G133" t="s">
        <v>160</v>
      </c>
      <c r="H133" t="s">
        <v>48</v>
      </c>
      <c r="I133" t="s">
        <v>297</v>
      </c>
      <c r="J133" t="s">
        <v>296</v>
      </c>
      <c r="K133" t="s">
        <v>30</v>
      </c>
      <c r="L133" t="s">
        <v>31</v>
      </c>
      <c r="N133" s="1">
        <v>12</v>
      </c>
      <c r="O133" s="6">
        <v>1</v>
      </c>
      <c r="P133" s="7">
        <f t="shared" si="4"/>
        <v>12</v>
      </c>
      <c r="Q133">
        <v>3</v>
      </c>
      <c r="R133" s="4" t="s">
        <v>68</v>
      </c>
      <c r="S133" s="8">
        <v>0.08</v>
      </c>
      <c r="T133" s="7">
        <f t="shared" si="5"/>
        <v>11.04</v>
      </c>
    </row>
    <row r="134" spans="1:20" x14ac:dyDescent="0.3">
      <c r="A134">
        <v>133</v>
      </c>
      <c r="B134" s="4">
        <v>44768</v>
      </c>
      <c r="C134" s="5">
        <v>44768</v>
      </c>
      <c r="D134">
        <v>6678</v>
      </c>
      <c r="E134" t="s">
        <v>102</v>
      </c>
      <c r="F134">
        <v>28317</v>
      </c>
      <c r="G134" t="s">
        <v>232</v>
      </c>
      <c r="H134" t="s">
        <v>56</v>
      </c>
      <c r="I134" t="s">
        <v>297</v>
      </c>
      <c r="J134" t="s">
        <v>296</v>
      </c>
      <c r="K134" t="s">
        <v>12</v>
      </c>
      <c r="L134" t="s">
        <v>13</v>
      </c>
      <c r="N134" s="1">
        <v>9</v>
      </c>
      <c r="O134" s="6">
        <v>5</v>
      </c>
      <c r="P134" s="7">
        <f t="shared" si="4"/>
        <v>45</v>
      </c>
      <c r="Q134">
        <v>4</v>
      </c>
      <c r="R134" s="4" t="s">
        <v>66</v>
      </c>
      <c r="S134" s="8">
        <v>0.1</v>
      </c>
      <c r="T134" s="7">
        <f t="shared" si="5"/>
        <v>40.5</v>
      </c>
    </row>
    <row r="135" spans="1:20" x14ac:dyDescent="0.3">
      <c r="A135">
        <v>134</v>
      </c>
      <c r="B135" s="4">
        <v>44768</v>
      </c>
      <c r="C135" s="5">
        <v>44768</v>
      </c>
      <c r="D135">
        <v>5346</v>
      </c>
      <c r="E135" t="s">
        <v>101</v>
      </c>
      <c r="F135">
        <v>22015</v>
      </c>
      <c r="G135" t="s">
        <v>173</v>
      </c>
      <c r="H135" t="s">
        <v>51</v>
      </c>
      <c r="I135" t="s">
        <v>298</v>
      </c>
      <c r="J135" t="s">
        <v>296</v>
      </c>
      <c r="K135" t="s">
        <v>7</v>
      </c>
      <c r="L135" t="s">
        <v>8</v>
      </c>
      <c r="N135" s="1">
        <v>5.95</v>
      </c>
      <c r="O135" s="6">
        <v>5</v>
      </c>
      <c r="P135" s="7">
        <f t="shared" si="4"/>
        <v>29.75</v>
      </c>
      <c r="Q135">
        <v>0</v>
      </c>
      <c r="R135" s="4" t="s">
        <v>67</v>
      </c>
      <c r="S135" s="8">
        <v>0</v>
      </c>
      <c r="T135" s="7">
        <f t="shared" si="5"/>
        <v>29.75</v>
      </c>
    </row>
    <row r="136" spans="1:20" x14ac:dyDescent="0.3">
      <c r="A136">
        <v>135</v>
      </c>
      <c r="B136" s="4">
        <v>44769</v>
      </c>
      <c r="C136" s="5">
        <v>44769</v>
      </c>
      <c r="D136">
        <v>8064</v>
      </c>
      <c r="E136" t="s">
        <v>90</v>
      </c>
      <c r="F136">
        <v>18962</v>
      </c>
      <c r="G136" t="s">
        <v>233</v>
      </c>
      <c r="H136" t="s">
        <v>56</v>
      </c>
      <c r="I136" t="s">
        <v>297</v>
      </c>
      <c r="J136" t="s">
        <v>296</v>
      </c>
      <c r="K136" t="s">
        <v>19</v>
      </c>
      <c r="L136" t="s">
        <v>20</v>
      </c>
      <c r="N136" s="1">
        <v>7.5</v>
      </c>
      <c r="O136" s="6">
        <v>8</v>
      </c>
      <c r="P136" s="7">
        <f t="shared" si="4"/>
        <v>60</v>
      </c>
      <c r="Q136">
        <v>4</v>
      </c>
      <c r="R136" s="4" t="s">
        <v>66</v>
      </c>
      <c r="S136" s="8">
        <v>0.1</v>
      </c>
      <c r="T136" s="7">
        <f t="shared" si="5"/>
        <v>54</v>
      </c>
    </row>
    <row r="137" spans="1:20" x14ac:dyDescent="0.3">
      <c r="A137">
        <v>136</v>
      </c>
      <c r="B137" s="4">
        <v>44769</v>
      </c>
      <c r="C137" s="5">
        <v>44769</v>
      </c>
      <c r="D137">
        <v>1384</v>
      </c>
      <c r="E137" t="s">
        <v>95</v>
      </c>
      <c r="F137">
        <v>21339</v>
      </c>
      <c r="G137" t="s">
        <v>148</v>
      </c>
      <c r="H137" t="s">
        <v>54</v>
      </c>
      <c r="I137" t="s">
        <v>297</v>
      </c>
      <c r="J137" t="s">
        <v>296</v>
      </c>
      <c r="K137" t="s">
        <v>32</v>
      </c>
      <c r="L137" t="s">
        <v>33</v>
      </c>
      <c r="N137" s="1">
        <v>12</v>
      </c>
      <c r="O137" s="6">
        <v>8</v>
      </c>
      <c r="P137" s="7">
        <f t="shared" si="4"/>
        <v>96</v>
      </c>
      <c r="Q137">
        <v>5</v>
      </c>
      <c r="R137" s="4" t="s">
        <v>69</v>
      </c>
      <c r="S137" s="8">
        <v>0.15</v>
      </c>
      <c r="T137" s="7">
        <f t="shared" si="5"/>
        <v>81.599999999999994</v>
      </c>
    </row>
    <row r="138" spans="1:20" x14ac:dyDescent="0.3">
      <c r="A138">
        <v>137</v>
      </c>
      <c r="B138" s="4">
        <v>44770</v>
      </c>
      <c r="C138" s="5">
        <v>44770</v>
      </c>
      <c r="D138">
        <v>6892</v>
      </c>
      <c r="E138" t="s">
        <v>93</v>
      </c>
      <c r="F138">
        <v>16953</v>
      </c>
      <c r="G138" t="s">
        <v>234</v>
      </c>
      <c r="H138" t="s">
        <v>54</v>
      </c>
      <c r="I138" t="s">
        <v>297</v>
      </c>
      <c r="J138" t="s">
        <v>296</v>
      </c>
      <c r="K138" t="s">
        <v>30</v>
      </c>
      <c r="L138" t="s">
        <v>31</v>
      </c>
      <c r="N138" s="1">
        <v>12</v>
      </c>
      <c r="O138" s="6">
        <v>6</v>
      </c>
      <c r="P138" s="7">
        <f t="shared" si="4"/>
        <v>72</v>
      </c>
      <c r="Q138">
        <v>4</v>
      </c>
      <c r="R138" s="4" t="s">
        <v>66</v>
      </c>
      <c r="S138" s="8">
        <v>0.1</v>
      </c>
      <c r="T138" s="7">
        <f t="shared" si="5"/>
        <v>64.8</v>
      </c>
    </row>
    <row r="139" spans="1:20" x14ac:dyDescent="0.3">
      <c r="A139">
        <v>138</v>
      </c>
      <c r="B139" s="4">
        <v>44770</v>
      </c>
      <c r="C139" s="5">
        <v>44770</v>
      </c>
      <c r="D139">
        <v>8064</v>
      </c>
      <c r="E139" t="s">
        <v>90</v>
      </c>
      <c r="F139">
        <v>22912</v>
      </c>
      <c r="G139" t="s">
        <v>229</v>
      </c>
      <c r="H139" t="s">
        <v>55</v>
      </c>
      <c r="I139" t="s">
        <v>297</v>
      </c>
      <c r="J139" t="s">
        <v>296</v>
      </c>
      <c r="K139" t="s">
        <v>19</v>
      </c>
      <c r="L139" t="s">
        <v>20</v>
      </c>
      <c r="N139" s="1">
        <v>7.5</v>
      </c>
      <c r="O139" s="6">
        <v>7</v>
      </c>
      <c r="P139" s="7">
        <f t="shared" si="4"/>
        <v>52.5</v>
      </c>
      <c r="Q139">
        <v>3</v>
      </c>
      <c r="R139" s="4" t="s">
        <v>68</v>
      </c>
      <c r="S139" s="8">
        <v>0.08</v>
      </c>
      <c r="T139" s="7">
        <f t="shared" si="5"/>
        <v>48.3</v>
      </c>
    </row>
    <row r="140" spans="1:20" x14ac:dyDescent="0.3">
      <c r="A140">
        <v>139</v>
      </c>
      <c r="B140" s="4">
        <v>44771</v>
      </c>
      <c r="C140" s="5">
        <v>44771</v>
      </c>
      <c r="D140">
        <v>6143</v>
      </c>
      <c r="E140" t="s">
        <v>104</v>
      </c>
      <c r="F140">
        <v>22829</v>
      </c>
      <c r="G140" t="s">
        <v>235</v>
      </c>
      <c r="H140" t="s">
        <v>52</v>
      </c>
      <c r="I140" t="s">
        <v>297</v>
      </c>
      <c r="J140" t="s">
        <v>296</v>
      </c>
      <c r="K140" t="s">
        <v>19</v>
      </c>
      <c r="L140" t="s">
        <v>20</v>
      </c>
      <c r="N140" s="1">
        <v>7.5</v>
      </c>
      <c r="O140" s="6">
        <v>4</v>
      </c>
      <c r="P140" s="7">
        <f t="shared" si="4"/>
        <v>30</v>
      </c>
      <c r="Q140">
        <v>2</v>
      </c>
      <c r="R140" s="4" t="s">
        <v>71</v>
      </c>
      <c r="S140" s="8">
        <v>0.06</v>
      </c>
      <c r="T140" s="7">
        <f t="shared" si="5"/>
        <v>28.2</v>
      </c>
    </row>
    <row r="141" spans="1:20" x14ac:dyDescent="0.3">
      <c r="A141">
        <v>140</v>
      </c>
      <c r="B141" s="4">
        <v>44772</v>
      </c>
      <c r="C141" s="5">
        <v>44772</v>
      </c>
      <c r="D141">
        <v>6464</v>
      </c>
      <c r="E141" t="s">
        <v>103</v>
      </c>
      <c r="F141">
        <v>15464</v>
      </c>
      <c r="G141" t="s">
        <v>209</v>
      </c>
      <c r="H141" t="s">
        <v>59</v>
      </c>
      <c r="I141" t="s">
        <v>297</v>
      </c>
      <c r="J141" t="s">
        <v>296</v>
      </c>
      <c r="K141" t="s">
        <v>28</v>
      </c>
      <c r="L141" t="s">
        <v>29</v>
      </c>
      <c r="N141" s="1">
        <v>12</v>
      </c>
      <c r="O141" s="6">
        <v>3</v>
      </c>
      <c r="P141" s="7">
        <f t="shared" si="4"/>
        <v>36</v>
      </c>
      <c r="Q141">
        <v>2</v>
      </c>
      <c r="R141" s="4" t="s">
        <v>71</v>
      </c>
      <c r="S141" s="8">
        <v>0.06</v>
      </c>
      <c r="T141" s="7">
        <f t="shared" si="5"/>
        <v>33.840000000000003</v>
      </c>
    </row>
    <row r="142" spans="1:20" x14ac:dyDescent="0.3">
      <c r="A142">
        <v>141</v>
      </c>
      <c r="B142" s="4">
        <v>44772</v>
      </c>
      <c r="C142" s="5">
        <v>44772</v>
      </c>
      <c r="D142">
        <v>5346</v>
      </c>
      <c r="E142" t="s">
        <v>101</v>
      </c>
      <c r="F142">
        <v>23455</v>
      </c>
      <c r="G142" t="s">
        <v>184</v>
      </c>
      <c r="H142" t="s">
        <v>58</v>
      </c>
      <c r="I142" t="s">
        <v>299</v>
      </c>
      <c r="J142" t="s">
        <v>296</v>
      </c>
      <c r="K142" t="s">
        <v>7</v>
      </c>
      <c r="L142" t="s">
        <v>8</v>
      </c>
      <c r="N142" s="1">
        <v>5.95</v>
      </c>
      <c r="O142" s="6">
        <v>1</v>
      </c>
      <c r="P142" s="7">
        <f t="shared" si="4"/>
        <v>5.95</v>
      </c>
      <c r="Q142">
        <v>4</v>
      </c>
      <c r="R142" s="4" t="s">
        <v>66</v>
      </c>
      <c r="S142" s="8">
        <v>0.1</v>
      </c>
      <c r="T142" s="7">
        <f t="shared" si="5"/>
        <v>5.3550000000000004</v>
      </c>
    </row>
    <row r="143" spans="1:20" x14ac:dyDescent="0.3">
      <c r="A143">
        <v>142</v>
      </c>
      <c r="B143" s="4">
        <v>44772</v>
      </c>
      <c r="C143" s="5">
        <v>44772</v>
      </c>
      <c r="D143">
        <v>5400</v>
      </c>
      <c r="E143" t="s">
        <v>99</v>
      </c>
      <c r="F143">
        <v>17376</v>
      </c>
      <c r="G143" t="s">
        <v>236</v>
      </c>
      <c r="H143" t="s">
        <v>54</v>
      </c>
      <c r="I143" t="s">
        <v>297</v>
      </c>
      <c r="J143" t="s">
        <v>296</v>
      </c>
      <c r="K143" t="s">
        <v>16</v>
      </c>
      <c r="L143" t="s">
        <v>17</v>
      </c>
      <c r="N143" s="1">
        <v>10</v>
      </c>
      <c r="O143" s="6">
        <v>3</v>
      </c>
      <c r="P143" s="7">
        <f t="shared" si="4"/>
        <v>30</v>
      </c>
      <c r="Q143">
        <v>0</v>
      </c>
      <c r="R143" s="4" t="s">
        <v>67</v>
      </c>
      <c r="S143" s="8">
        <v>0</v>
      </c>
      <c r="T143" s="7">
        <f t="shared" si="5"/>
        <v>30</v>
      </c>
    </row>
    <row r="144" spans="1:20" x14ac:dyDescent="0.3">
      <c r="A144">
        <v>143</v>
      </c>
      <c r="B144" s="4">
        <v>44772</v>
      </c>
      <c r="C144" s="5">
        <v>44772</v>
      </c>
      <c r="D144">
        <v>6143</v>
      </c>
      <c r="E144" t="s">
        <v>104</v>
      </c>
      <c r="F144">
        <v>21104</v>
      </c>
      <c r="G144" t="s">
        <v>191</v>
      </c>
      <c r="H144" t="s">
        <v>56</v>
      </c>
      <c r="I144" t="s">
        <v>297</v>
      </c>
      <c r="J144" t="s">
        <v>296</v>
      </c>
      <c r="K144" t="s">
        <v>16</v>
      </c>
      <c r="L144" t="s">
        <v>17</v>
      </c>
      <c r="N144" s="1">
        <v>10</v>
      </c>
      <c r="O144" s="6">
        <v>2</v>
      </c>
      <c r="P144" s="7">
        <f t="shared" si="4"/>
        <v>20</v>
      </c>
      <c r="Q144">
        <v>1</v>
      </c>
      <c r="R144" s="4" t="s">
        <v>70</v>
      </c>
      <c r="S144" s="8">
        <v>0.05</v>
      </c>
      <c r="T144" s="7">
        <f t="shared" si="5"/>
        <v>19</v>
      </c>
    </row>
    <row r="145" spans="1:20" x14ac:dyDescent="0.3">
      <c r="A145">
        <v>144</v>
      </c>
      <c r="B145" s="4">
        <v>44773</v>
      </c>
      <c r="C145" s="5">
        <v>44773</v>
      </c>
      <c r="D145">
        <v>5418</v>
      </c>
      <c r="E145" t="s">
        <v>97</v>
      </c>
      <c r="F145">
        <v>27850</v>
      </c>
      <c r="G145" t="s">
        <v>237</v>
      </c>
      <c r="H145" t="s">
        <v>52</v>
      </c>
      <c r="I145" t="s">
        <v>297</v>
      </c>
      <c r="J145" t="s">
        <v>296</v>
      </c>
      <c r="K145" t="s">
        <v>5</v>
      </c>
      <c r="L145" t="s">
        <v>6</v>
      </c>
      <c r="N145" s="1">
        <v>5.95</v>
      </c>
      <c r="O145" s="6">
        <v>3</v>
      </c>
      <c r="P145" s="7">
        <f t="shared" si="4"/>
        <v>17.850000000000001</v>
      </c>
      <c r="Q145">
        <v>4</v>
      </c>
      <c r="R145" s="4" t="s">
        <v>66</v>
      </c>
      <c r="S145" s="8">
        <v>0.1</v>
      </c>
      <c r="T145" s="7">
        <f t="shared" si="5"/>
        <v>16.065000000000001</v>
      </c>
    </row>
    <row r="146" spans="1:20" x14ac:dyDescent="0.3">
      <c r="A146">
        <v>145</v>
      </c>
      <c r="B146" s="4">
        <v>44774</v>
      </c>
      <c r="C146" s="5">
        <v>44774</v>
      </c>
      <c r="D146">
        <v>6143</v>
      </c>
      <c r="E146" t="s">
        <v>104</v>
      </c>
      <c r="F146">
        <v>21959</v>
      </c>
      <c r="G146" t="s">
        <v>157</v>
      </c>
      <c r="H146" t="s">
        <v>47</v>
      </c>
      <c r="I146" t="s">
        <v>297</v>
      </c>
      <c r="J146" t="s">
        <v>296</v>
      </c>
      <c r="K146" t="s">
        <v>16</v>
      </c>
      <c r="L146" t="s">
        <v>17</v>
      </c>
      <c r="N146" s="1">
        <v>10</v>
      </c>
      <c r="O146" s="6">
        <v>8</v>
      </c>
      <c r="P146" s="7">
        <f t="shared" si="4"/>
        <v>80</v>
      </c>
      <c r="Q146">
        <v>1</v>
      </c>
      <c r="R146" s="4" t="s">
        <v>70</v>
      </c>
      <c r="S146" s="8">
        <v>0.05</v>
      </c>
      <c r="T146" s="7">
        <f t="shared" si="5"/>
        <v>76</v>
      </c>
    </row>
    <row r="147" spans="1:20" x14ac:dyDescent="0.3">
      <c r="A147">
        <v>146</v>
      </c>
      <c r="B147" s="4">
        <v>44775</v>
      </c>
      <c r="C147" s="5">
        <v>44775</v>
      </c>
      <c r="D147">
        <v>5346</v>
      </c>
      <c r="E147" t="s">
        <v>101</v>
      </c>
      <c r="F147">
        <v>27995</v>
      </c>
      <c r="G147" t="s">
        <v>169</v>
      </c>
      <c r="H147" t="s">
        <v>57</v>
      </c>
      <c r="I147" t="s">
        <v>297</v>
      </c>
      <c r="J147" t="s">
        <v>296</v>
      </c>
      <c r="K147" t="s">
        <v>32</v>
      </c>
      <c r="L147" t="s">
        <v>33</v>
      </c>
      <c r="N147" s="1">
        <v>12</v>
      </c>
      <c r="O147" s="6">
        <v>3</v>
      </c>
      <c r="P147" s="7">
        <f t="shared" si="4"/>
        <v>36</v>
      </c>
      <c r="Q147">
        <v>4</v>
      </c>
      <c r="R147" s="4" t="s">
        <v>66</v>
      </c>
      <c r="S147" s="8">
        <v>0.1</v>
      </c>
      <c r="T147" s="7">
        <f t="shared" si="5"/>
        <v>32.4</v>
      </c>
    </row>
    <row r="148" spans="1:20" x14ac:dyDescent="0.3">
      <c r="A148">
        <v>147</v>
      </c>
      <c r="B148" s="4">
        <v>44775</v>
      </c>
      <c r="C148" s="5">
        <v>44775</v>
      </c>
      <c r="D148">
        <v>8064</v>
      </c>
      <c r="E148" t="s">
        <v>90</v>
      </c>
      <c r="F148">
        <v>22094</v>
      </c>
      <c r="G148" t="s">
        <v>147</v>
      </c>
      <c r="H148" t="s">
        <v>56</v>
      </c>
      <c r="I148" t="s">
        <v>297</v>
      </c>
      <c r="J148" t="s">
        <v>296</v>
      </c>
      <c r="K148" t="s">
        <v>9</v>
      </c>
      <c r="L148" t="s">
        <v>10</v>
      </c>
      <c r="N148" s="1">
        <v>5.95</v>
      </c>
      <c r="O148" s="6">
        <v>4</v>
      </c>
      <c r="P148" s="7">
        <f t="shared" si="4"/>
        <v>23.8</v>
      </c>
      <c r="Q148">
        <v>4</v>
      </c>
      <c r="R148" s="4" t="s">
        <v>66</v>
      </c>
      <c r="S148" s="8">
        <v>0.1</v>
      </c>
      <c r="T148" s="7">
        <f t="shared" si="5"/>
        <v>21.42</v>
      </c>
    </row>
    <row r="149" spans="1:20" x14ac:dyDescent="0.3">
      <c r="A149">
        <v>148</v>
      </c>
      <c r="B149" s="4">
        <v>44775</v>
      </c>
      <c r="C149" s="5">
        <v>44775</v>
      </c>
      <c r="D149">
        <v>6571</v>
      </c>
      <c r="E149" t="s">
        <v>96</v>
      </c>
      <c r="F149">
        <v>26350</v>
      </c>
      <c r="G149" t="s">
        <v>238</v>
      </c>
      <c r="H149" t="s">
        <v>50</v>
      </c>
      <c r="I149" t="s">
        <v>297</v>
      </c>
      <c r="J149" t="s">
        <v>296</v>
      </c>
      <c r="K149" t="s">
        <v>19</v>
      </c>
      <c r="L149" t="s">
        <v>20</v>
      </c>
      <c r="N149" s="1">
        <v>7.5</v>
      </c>
      <c r="O149" s="6">
        <v>3</v>
      </c>
      <c r="P149" s="7">
        <f t="shared" si="4"/>
        <v>22.5</v>
      </c>
      <c r="Q149">
        <v>0</v>
      </c>
      <c r="R149" s="4" t="s">
        <v>67</v>
      </c>
      <c r="S149" s="8">
        <v>0</v>
      </c>
      <c r="T149" s="7">
        <f t="shared" si="5"/>
        <v>22.5</v>
      </c>
    </row>
    <row r="150" spans="1:20" x14ac:dyDescent="0.3">
      <c r="A150">
        <v>149</v>
      </c>
      <c r="B150" s="4">
        <v>44776</v>
      </c>
      <c r="C150" s="5">
        <v>44776</v>
      </c>
      <c r="D150">
        <v>6892</v>
      </c>
      <c r="E150" t="s">
        <v>93</v>
      </c>
      <c r="F150">
        <v>15868</v>
      </c>
      <c r="G150" t="s">
        <v>239</v>
      </c>
      <c r="H150" t="s">
        <v>47</v>
      </c>
      <c r="I150" t="s">
        <v>297</v>
      </c>
      <c r="J150" t="s">
        <v>296</v>
      </c>
      <c r="K150" t="s">
        <v>16</v>
      </c>
      <c r="L150" t="s">
        <v>17</v>
      </c>
      <c r="N150" s="1">
        <v>10</v>
      </c>
      <c r="O150" s="6">
        <v>8</v>
      </c>
      <c r="P150" s="7">
        <f t="shared" si="4"/>
        <v>80</v>
      </c>
      <c r="Q150">
        <v>4</v>
      </c>
      <c r="R150" s="4" t="s">
        <v>66</v>
      </c>
      <c r="S150" s="8">
        <v>0.1</v>
      </c>
      <c r="T150" s="7">
        <f t="shared" si="5"/>
        <v>72</v>
      </c>
    </row>
    <row r="151" spans="1:20" x14ac:dyDescent="0.3">
      <c r="A151">
        <v>150</v>
      </c>
      <c r="B151" s="4">
        <v>44776</v>
      </c>
      <c r="C151" s="5">
        <v>44776</v>
      </c>
      <c r="D151">
        <v>6143</v>
      </c>
      <c r="E151" t="s">
        <v>104</v>
      </c>
      <c r="F151">
        <v>14342</v>
      </c>
      <c r="G151" t="s">
        <v>228</v>
      </c>
      <c r="H151" t="s">
        <v>50</v>
      </c>
      <c r="I151" t="s">
        <v>297</v>
      </c>
      <c r="J151" t="s">
        <v>296</v>
      </c>
      <c r="K151" t="s">
        <v>23</v>
      </c>
      <c r="L151" t="s">
        <v>24</v>
      </c>
      <c r="N151" s="1">
        <v>7.5</v>
      </c>
      <c r="O151" s="6">
        <v>8</v>
      </c>
      <c r="P151" s="7">
        <f t="shared" si="4"/>
        <v>60</v>
      </c>
      <c r="Q151">
        <v>2</v>
      </c>
      <c r="R151" s="4" t="s">
        <v>71</v>
      </c>
      <c r="S151" s="8">
        <v>0.06</v>
      </c>
      <c r="T151" s="7">
        <f t="shared" si="5"/>
        <v>56.4</v>
      </c>
    </row>
    <row r="152" spans="1:20" x14ac:dyDescent="0.3">
      <c r="A152">
        <v>151</v>
      </c>
      <c r="B152" s="4">
        <v>44776</v>
      </c>
      <c r="C152" s="5">
        <v>44776</v>
      </c>
      <c r="D152">
        <v>4350</v>
      </c>
      <c r="E152" t="s">
        <v>100</v>
      </c>
      <c r="F152">
        <v>17696</v>
      </c>
      <c r="G152" t="s">
        <v>240</v>
      </c>
      <c r="H152" t="s">
        <v>49</v>
      </c>
      <c r="I152" t="s">
        <v>297</v>
      </c>
      <c r="J152" t="s">
        <v>296</v>
      </c>
      <c r="K152" t="s">
        <v>21</v>
      </c>
      <c r="L152" t="s">
        <v>22</v>
      </c>
      <c r="N152" s="1">
        <v>7.5</v>
      </c>
      <c r="O152" s="6">
        <v>2</v>
      </c>
      <c r="P152" s="7">
        <f t="shared" si="4"/>
        <v>15</v>
      </c>
      <c r="Q152">
        <v>4</v>
      </c>
      <c r="R152" s="4" t="s">
        <v>66</v>
      </c>
      <c r="S152" s="8">
        <v>0.1</v>
      </c>
      <c r="T152" s="7">
        <f t="shared" si="5"/>
        <v>13.5</v>
      </c>
    </row>
    <row r="153" spans="1:20" x14ac:dyDescent="0.3">
      <c r="A153">
        <v>152</v>
      </c>
      <c r="B153" s="4">
        <v>44777</v>
      </c>
      <c r="C153" s="5">
        <v>44777</v>
      </c>
      <c r="D153">
        <v>6143</v>
      </c>
      <c r="E153" t="s">
        <v>104</v>
      </c>
      <c r="F153">
        <v>17252</v>
      </c>
      <c r="G153" t="s">
        <v>187</v>
      </c>
      <c r="H153" t="s">
        <v>60</v>
      </c>
      <c r="I153" t="s">
        <v>297</v>
      </c>
      <c r="J153" t="s">
        <v>296</v>
      </c>
      <c r="K153" t="s">
        <v>14</v>
      </c>
      <c r="L153" t="s">
        <v>15</v>
      </c>
      <c r="N153" s="1">
        <v>9.5</v>
      </c>
      <c r="O153" s="6">
        <v>2</v>
      </c>
      <c r="P153" s="7">
        <f t="shared" si="4"/>
        <v>19</v>
      </c>
      <c r="Q153">
        <v>0</v>
      </c>
      <c r="R153" s="4" t="s">
        <v>67</v>
      </c>
      <c r="S153" s="8">
        <v>0</v>
      </c>
      <c r="T153" s="7">
        <f t="shared" si="5"/>
        <v>19</v>
      </c>
    </row>
    <row r="154" spans="1:20" x14ac:dyDescent="0.3">
      <c r="A154">
        <v>153</v>
      </c>
      <c r="B154" s="4">
        <v>44778</v>
      </c>
      <c r="C154" s="5">
        <v>44778</v>
      </c>
      <c r="D154">
        <v>5400</v>
      </c>
      <c r="E154" t="s">
        <v>99</v>
      </c>
      <c r="F154">
        <v>21339</v>
      </c>
      <c r="G154" t="s">
        <v>148</v>
      </c>
      <c r="H154" t="s">
        <v>54</v>
      </c>
      <c r="I154" t="s">
        <v>297</v>
      </c>
      <c r="J154" t="s">
        <v>296</v>
      </c>
      <c r="K154" t="s">
        <v>28</v>
      </c>
      <c r="L154" t="s">
        <v>29</v>
      </c>
      <c r="N154" s="1">
        <v>12</v>
      </c>
      <c r="O154" s="6">
        <v>9</v>
      </c>
      <c r="P154" s="7">
        <f t="shared" si="4"/>
        <v>108</v>
      </c>
      <c r="Q154">
        <v>5</v>
      </c>
      <c r="R154" s="4" t="s">
        <v>69</v>
      </c>
      <c r="S154" s="8">
        <v>0.15</v>
      </c>
      <c r="T154" s="7">
        <f t="shared" si="5"/>
        <v>91.8</v>
      </c>
    </row>
    <row r="155" spans="1:20" x14ac:dyDescent="0.3">
      <c r="A155">
        <v>154</v>
      </c>
      <c r="B155" s="4">
        <v>44778</v>
      </c>
      <c r="C155" s="5">
        <v>44778</v>
      </c>
      <c r="D155">
        <v>6678</v>
      </c>
      <c r="E155" t="s">
        <v>102</v>
      </c>
      <c r="F155">
        <v>11959</v>
      </c>
      <c r="G155" t="s">
        <v>241</v>
      </c>
      <c r="H155" t="s">
        <v>55</v>
      </c>
      <c r="I155" t="s">
        <v>297</v>
      </c>
      <c r="J155" t="s">
        <v>296</v>
      </c>
      <c r="K155" t="s">
        <v>9</v>
      </c>
      <c r="L155" t="s">
        <v>10</v>
      </c>
      <c r="N155" s="1">
        <v>5.95</v>
      </c>
      <c r="O155" s="6">
        <v>6</v>
      </c>
      <c r="P155" s="7">
        <f t="shared" si="4"/>
        <v>35.700000000000003</v>
      </c>
      <c r="Q155">
        <v>5</v>
      </c>
      <c r="R155" s="4" t="s">
        <v>69</v>
      </c>
      <c r="S155" s="8">
        <v>0.15</v>
      </c>
      <c r="T155" s="7">
        <f t="shared" si="5"/>
        <v>30.345000000000002</v>
      </c>
    </row>
    <row r="156" spans="1:20" x14ac:dyDescent="0.3">
      <c r="A156">
        <v>155</v>
      </c>
      <c r="B156" s="4">
        <v>44778</v>
      </c>
      <c r="C156" s="5">
        <v>44778</v>
      </c>
      <c r="D156">
        <v>6678</v>
      </c>
      <c r="E156" t="s">
        <v>102</v>
      </c>
      <c r="F156">
        <v>24302</v>
      </c>
      <c r="G156" t="s">
        <v>242</v>
      </c>
      <c r="H156" t="s">
        <v>57</v>
      </c>
      <c r="I156" t="s">
        <v>297</v>
      </c>
      <c r="J156" t="s">
        <v>296</v>
      </c>
      <c r="K156" t="s">
        <v>7</v>
      </c>
      <c r="L156" t="s">
        <v>8</v>
      </c>
      <c r="N156" s="1">
        <v>5.95</v>
      </c>
      <c r="O156" s="6">
        <v>8</v>
      </c>
      <c r="P156" s="7">
        <f t="shared" si="4"/>
        <v>47.6</v>
      </c>
      <c r="Q156">
        <v>0</v>
      </c>
      <c r="R156" s="4" t="s">
        <v>67</v>
      </c>
      <c r="S156" s="8">
        <v>0</v>
      </c>
      <c r="T156" s="7">
        <f t="shared" si="5"/>
        <v>47.6</v>
      </c>
    </row>
    <row r="157" spans="1:20" x14ac:dyDescent="0.3">
      <c r="A157">
        <v>156</v>
      </c>
      <c r="B157" s="4">
        <v>44779</v>
      </c>
      <c r="C157" s="5">
        <v>44779</v>
      </c>
      <c r="D157">
        <v>6892</v>
      </c>
      <c r="E157" t="s">
        <v>93</v>
      </c>
      <c r="F157">
        <v>17640</v>
      </c>
      <c r="G157" t="s">
        <v>243</v>
      </c>
      <c r="H157" t="s">
        <v>63</v>
      </c>
      <c r="I157" t="s">
        <v>297</v>
      </c>
      <c r="J157" t="s">
        <v>296</v>
      </c>
      <c r="K157" t="s">
        <v>7</v>
      </c>
      <c r="L157" t="s">
        <v>8</v>
      </c>
      <c r="N157" s="1">
        <v>5.95</v>
      </c>
      <c r="O157" s="6">
        <v>9</v>
      </c>
      <c r="P157" s="7">
        <f t="shared" si="4"/>
        <v>53.550000000000004</v>
      </c>
      <c r="Q157">
        <v>1</v>
      </c>
      <c r="R157" s="4" t="s">
        <v>70</v>
      </c>
      <c r="S157" s="8">
        <v>0.05</v>
      </c>
      <c r="T157" s="7">
        <f t="shared" si="5"/>
        <v>50.872500000000002</v>
      </c>
    </row>
    <row r="158" spans="1:20" x14ac:dyDescent="0.3">
      <c r="A158">
        <v>157</v>
      </c>
      <c r="B158" s="4">
        <v>44779</v>
      </c>
      <c r="C158" s="5">
        <v>44779</v>
      </c>
      <c r="D158">
        <v>6678</v>
      </c>
      <c r="E158" t="s">
        <v>102</v>
      </c>
      <c r="F158">
        <v>15256</v>
      </c>
      <c r="G158" t="s">
        <v>144</v>
      </c>
      <c r="H158" t="s">
        <v>56</v>
      </c>
      <c r="I158" t="s">
        <v>297</v>
      </c>
      <c r="J158" t="s">
        <v>296</v>
      </c>
      <c r="K158" t="s">
        <v>28</v>
      </c>
      <c r="L158" t="s">
        <v>29</v>
      </c>
      <c r="N158" s="1">
        <v>12</v>
      </c>
      <c r="O158" s="6">
        <v>6</v>
      </c>
      <c r="P158" s="7">
        <f t="shared" si="4"/>
        <v>72</v>
      </c>
      <c r="Q158">
        <v>2</v>
      </c>
      <c r="R158" s="4" t="s">
        <v>71</v>
      </c>
      <c r="S158" s="8">
        <v>0.06</v>
      </c>
      <c r="T158" s="7">
        <f t="shared" si="5"/>
        <v>67.680000000000007</v>
      </c>
    </row>
    <row r="159" spans="1:20" x14ac:dyDescent="0.3">
      <c r="A159">
        <v>158</v>
      </c>
      <c r="B159" s="4">
        <v>44779</v>
      </c>
      <c r="C159" s="5">
        <v>44779</v>
      </c>
      <c r="D159">
        <v>6464</v>
      </c>
      <c r="E159" t="s">
        <v>103</v>
      </c>
      <c r="F159">
        <v>21293</v>
      </c>
      <c r="G159" t="s">
        <v>177</v>
      </c>
      <c r="H159" t="s">
        <v>48</v>
      </c>
      <c r="I159" t="s">
        <v>297</v>
      </c>
      <c r="J159" t="s">
        <v>296</v>
      </c>
      <c r="K159" t="s">
        <v>32</v>
      </c>
      <c r="L159" t="s">
        <v>33</v>
      </c>
      <c r="N159" s="1">
        <v>12</v>
      </c>
      <c r="O159" s="6">
        <v>6</v>
      </c>
      <c r="P159" s="7">
        <f t="shared" si="4"/>
        <v>72</v>
      </c>
      <c r="Q159">
        <v>3</v>
      </c>
      <c r="R159" s="4" t="s">
        <v>68</v>
      </c>
      <c r="S159" s="8">
        <v>0.08</v>
      </c>
      <c r="T159" s="7">
        <f t="shared" si="5"/>
        <v>66.239999999999995</v>
      </c>
    </row>
    <row r="160" spans="1:20" x14ac:dyDescent="0.3">
      <c r="A160">
        <v>159</v>
      </c>
      <c r="B160" s="4">
        <v>44779</v>
      </c>
      <c r="C160" s="5">
        <v>44779</v>
      </c>
      <c r="D160">
        <v>8064</v>
      </c>
      <c r="E160" t="s">
        <v>90</v>
      </c>
      <c r="F160">
        <v>16595</v>
      </c>
      <c r="G160" t="s">
        <v>244</v>
      </c>
      <c r="H160" t="s">
        <v>56</v>
      </c>
      <c r="I160" t="s">
        <v>297</v>
      </c>
      <c r="J160" t="s">
        <v>296</v>
      </c>
      <c r="K160" t="s">
        <v>7</v>
      </c>
      <c r="L160" t="s">
        <v>8</v>
      </c>
      <c r="N160" s="1">
        <v>5.95</v>
      </c>
      <c r="O160" s="6">
        <v>10</v>
      </c>
      <c r="P160" s="7">
        <f t="shared" si="4"/>
        <v>59.5</v>
      </c>
      <c r="Q160">
        <v>4</v>
      </c>
      <c r="R160" s="4" t="s">
        <v>66</v>
      </c>
      <c r="S160" s="8">
        <v>0.1</v>
      </c>
      <c r="T160" s="7">
        <f t="shared" si="5"/>
        <v>53.55</v>
      </c>
    </row>
    <row r="161" spans="1:20" x14ac:dyDescent="0.3">
      <c r="A161">
        <v>160</v>
      </c>
      <c r="B161" s="4">
        <v>44779</v>
      </c>
      <c r="C161" s="5">
        <v>44779</v>
      </c>
      <c r="D161">
        <v>6678</v>
      </c>
      <c r="E161" t="s">
        <v>102</v>
      </c>
      <c r="F161">
        <v>26500</v>
      </c>
      <c r="G161" t="s">
        <v>154</v>
      </c>
      <c r="H161" t="s">
        <v>50</v>
      </c>
      <c r="I161" t="s">
        <v>297</v>
      </c>
      <c r="J161" t="s">
        <v>296</v>
      </c>
      <c r="K161" t="s">
        <v>5</v>
      </c>
      <c r="L161" t="s">
        <v>6</v>
      </c>
      <c r="N161" s="1">
        <v>5.95</v>
      </c>
      <c r="O161" s="6">
        <v>8</v>
      </c>
      <c r="P161" s="7">
        <f t="shared" si="4"/>
        <v>47.6</v>
      </c>
      <c r="Q161">
        <v>1</v>
      </c>
      <c r="R161" s="4" t="s">
        <v>70</v>
      </c>
      <c r="S161" s="8">
        <v>0.05</v>
      </c>
      <c r="T161" s="7">
        <f t="shared" si="5"/>
        <v>45.22</v>
      </c>
    </row>
    <row r="162" spans="1:20" x14ac:dyDescent="0.3">
      <c r="A162">
        <v>161</v>
      </c>
      <c r="B162" s="4">
        <v>44779</v>
      </c>
      <c r="C162" s="5">
        <v>44779</v>
      </c>
      <c r="D162">
        <v>6357</v>
      </c>
      <c r="E162" t="s">
        <v>98</v>
      </c>
      <c r="F162">
        <v>24537</v>
      </c>
      <c r="G162" t="s">
        <v>245</v>
      </c>
      <c r="H162" t="s">
        <v>63</v>
      </c>
      <c r="I162" t="s">
        <v>297</v>
      </c>
      <c r="J162" t="s">
        <v>296</v>
      </c>
      <c r="K162" t="s">
        <v>23</v>
      </c>
      <c r="L162" t="s">
        <v>24</v>
      </c>
      <c r="N162" s="1">
        <v>7.5</v>
      </c>
      <c r="O162" s="6">
        <v>10</v>
      </c>
      <c r="P162" s="7">
        <f t="shared" si="4"/>
        <v>75</v>
      </c>
      <c r="Q162">
        <v>4</v>
      </c>
      <c r="R162" s="4" t="s">
        <v>66</v>
      </c>
      <c r="S162" s="8">
        <v>0.1</v>
      </c>
      <c r="T162" s="7">
        <f t="shared" si="5"/>
        <v>67.5</v>
      </c>
    </row>
    <row r="163" spans="1:20" x14ac:dyDescent="0.3">
      <c r="A163">
        <v>162</v>
      </c>
      <c r="B163" s="4">
        <v>44780</v>
      </c>
      <c r="C163" s="5">
        <v>44780</v>
      </c>
      <c r="D163">
        <v>6250</v>
      </c>
      <c r="E163" t="s">
        <v>94</v>
      </c>
      <c r="F163">
        <v>23687</v>
      </c>
      <c r="G163" t="s">
        <v>246</v>
      </c>
      <c r="H163" t="s">
        <v>60</v>
      </c>
      <c r="I163" t="s">
        <v>297</v>
      </c>
      <c r="J163" t="s">
        <v>296</v>
      </c>
      <c r="K163" t="s">
        <v>7</v>
      </c>
      <c r="L163" t="s">
        <v>8</v>
      </c>
      <c r="N163" s="1">
        <v>5.95</v>
      </c>
      <c r="O163" s="6">
        <v>9</v>
      </c>
      <c r="P163" s="7">
        <f t="shared" si="4"/>
        <v>53.550000000000004</v>
      </c>
      <c r="Q163">
        <v>5</v>
      </c>
      <c r="R163" s="4" t="s">
        <v>69</v>
      </c>
      <c r="S163" s="8">
        <v>0.15</v>
      </c>
      <c r="T163" s="7">
        <f t="shared" si="5"/>
        <v>45.517500000000005</v>
      </c>
    </row>
    <row r="164" spans="1:20" x14ac:dyDescent="0.3">
      <c r="A164">
        <v>163</v>
      </c>
      <c r="B164" s="4">
        <v>44780</v>
      </c>
      <c r="C164" s="5">
        <v>44780</v>
      </c>
      <c r="D164">
        <v>5418</v>
      </c>
      <c r="E164" t="s">
        <v>97</v>
      </c>
      <c r="F164">
        <v>20832</v>
      </c>
      <c r="G164" t="s">
        <v>247</v>
      </c>
      <c r="H164" t="s">
        <v>53</v>
      </c>
      <c r="I164" t="s">
        <v>297</v>
      </c>
      <c r="J164" t="s">
        <v>296</v>
      </c>
      <c r="K164" t="s">
        <v>5</v>
      </c>
      <c r="L164" t="s">
        <v>6</v>
      </c>
      <c r="N164" s="1">
        <v>5.95</v>
      </c>
      <c r="O164" s="6">
        <v>5</v>
      </c>
      <c r="P164" s="7">
        <f t="shared" si="4"/>
        <v>29.75</v>
      </c>
      <c r="Q164">
        <v>2</v>
      </c>
      <c r="R164" s="4" t="s">
        <v>71</v>
      </c>
      <c r="S164" s="8">
        <v>0.06</v>
      </c>
      <c r="T164" s="7">
        <f t="shared" si="5"/>
        <v>27.965</v>
      </c>
    </row>
    <row r="165" spans="1:20" x14ac:dyDescent="0.3">
      <c r="A165">
        <v>164</v>
      </c>
      <c r="B165" s="4">
        <v>44781</v>
      </c>
      <c r="C165" s="5">
        <v>44781</v>
      </c>
      <c r="D165">
        <v>6357</v>
      </c>
      <c r="E165" t="s">
        <v>98</v>
      </c>
      <c r="F165">
        <v>13122</v>
      </c>
      <c r="G165" t="s">
        <v>248</v>
      </c>
      <c r="H165" t="s">
        <v>59</v>
      </c>
      <c r="I165" t="s">
        <v>297</v>
      </c>
      <c r="J165" t="s">
        <v>296</v>
      </c>
      <c r="K165" t="s">
        <v>25</v>
      </c>
      <c r="L165" t="s">
        <v>26</v>
      </c>
      <c r="N165" s="1">
        <v>8</v>
      </c>
      <c r="O165" s="6">
        <v>3</v>
      </c>
      <c r="P165" s="7">
        <f t="shared" si="4"/>
        <v>24</v>
      </c>
      <c r="Q165">
        <v>1</v>
      </c>
      <c r="R165" s="4" t="s">
        <v>70</v>
      </c>
      <c r="S165" s="8">
        <v>0.05</v>
      </c>
      <c r="T165" s="7">
        <f t="shared" si="5"/>
        <v>22.8</v>
      </c>
    </row>
    <row r="166" spans="1:20" x14ac:dyDescent="0.3">
      <c r="A166">
        <v>165</v>
      </c>
      <c r="B166" s="4">
        <v>44781</v>
      </c>
      <c r="C166" s="5">
        <v>44781</v>
      </c>
      <c r="D166">
        <v>4350</v>
      </c>
      <c r="E166" t="s">
        <v>100</v>
      </c>
      <c r="F166">
        <v>20912</v>
      </c>
      <c r="G166" t="s">
        <v>205</v>
      </c>
      <c r="H166" t="s">
        <v>47</v>
      </c>
      <c r="I166" t="s">
        <v>297</v>
      </c>
      <c r="J166" t="s">
        <v>296</v>
      </c>
      <c r="K166" t="s">
        <v>12</v>
      </c>
      <c r="L166" t="s">
        <v>13</v>
      </c>
      <c r="N166" s="1">
        <v>9</v>
      </c>
      <c r="O166" s="6">
        <v>8</v>
      </c>
      <c r="P166" s="7">
        <f t="shared" si="4"/>
        <v>72</v>
      </c>
      <c r="Q166">
        <v>5</v>
      </c>
      <c r="R166" s="4" t="s">
        <v>69</v>
      </c>
      <c r="S166" s="8">
        <v>0.15</v>
      </c>
      <c r="T166" s="7">
        <f t="shared" si="5"/>
        <v>61.2</v>
      </c>
    </row>
    <row r="167" spans="1:20" x14ac:dyDescent="0.3">
      <c r="A167">
        <v>166</v>
      </c>
      <c r="B167" s="4">
        <v>44781</v>
      </c>
      <c r="C167" s="5">
        <v>44781</v>
      </c>
      <c r="D167">
        <v>8064</v>
      </c>
      <c r="E167" t="s">
        <v>90</v>
      </c>
      <c r="F167">
        <v>18345</v>
      </c>
      <c r="G167" t="s">
        <v>249</v>
      </c>
      <c r="H167" t="s">
        <v>61</v>
      </c>
      <c r="I167" t="s">
        <v>297</v>
      </c>
      <c r="J167" t="s">
        <v>296</v>
      </c>
      <c r="K167" t="s">
        <v>23</v>
      </c>
      <c r="L167" t="s">
        <v>24</v>
      </c>
      <c r="N167" s="1">
        <v>7.5</v>
      </c>
      <c r="O167" s="6">
        <v>5</v>
      </c>
      <c r="P167" s="7">
        <f t="shared" si="4"/>
        <v>37.5</v>
      </c>
      <c r="Q167">
        <v>0</v>
      </c>
      <c r="R167" s="4" t="s">
        <v>67</v>
      </c>
      <c r="S167" s="8">
        <v>0</v>
      </c>
      <c r="T167" s="7">
        <f t="shared" si="5"/>
        <v>37.5</v>
      </c>
    </row>
    <row r="168" spans="1:20" x14ac:dyDescent="0.3">
      <c r="A168">
        <v>167</v>
      </c>
      <c r="B168" s="4">
        <v>44781</v>
      </c>
      <c r="C168" s="5">
        <v>44781</v>
      </c>
      <c r="D168">
        <v>6464</v>
      </c>
      <c r="E168" t="s">
        <v>103</v>
      </c>
      <c r="F168">
        <v>22749</v>
      </c>
      <c r="G168" t="s">
        <v>250</v>
      </c>
      <c r="H168" t="s">
        <v>51</v>
      </c>
      <c r="I168" t="s">
        <v>298</v>
      </c>
      <c r="J168" t="s">
        <v>296</v>
      </c>
      <c r="K168" t="s">
        <v>16</v>
      </c>
      <c r="L168" t="s">
        <v>17</v>
      </c>
      <c r="N168" s="1">
        <v>10</v>
      </c>
      <c r="O168" s="6">
        <v>7</v>
      </c>
      <c r="P168" s="7">
        <f t="shared" si="4"/>
        <v>70</v>
      </c>
      <c r="Q168">
        <v>0</v>
      </c>
      <c r="R168" s="4" t="s">
        <v>67</v>
      </c>
      <c r="S168" s="8">
        <v>0</v>
      </c>
      <c r="T168" s="7">
        <f t="shared" si="5"/>
        <v>70</v>
      </c>
    </row>
    <row r="169" spans="1:20" x14ac:dyDescent="0.3">
      <c r="A169">
        <v>168</v>
      </c>
      <c r="B169" s="4">
        <v>44781</v>
      </c>
      <c r="C169" s="5">
        <v>44781</v>
      </c>
      <c r="D169">
        <v>8064</v>
      </c>
      <c r="E169" t="s">
        <v>90</v>
      </c>
      <c r="F169">
        <v>20051</v>
      </c>
      <c r="G169" t="s">
        <v>160</v>
      </c>
      <c r="H169" t="s">
        <v>48</v>
      </c>
      <c r="I169" t="s">
        <v>297</v>
      </c>
      <c r="J169" t="s">
        <v>296</v>
      </c>
      <c r="K169" t="s">
        <v>7</v>
      </c>
      <c r="L169" t="s">
        <v>8</v>
      </c>
      <c r="N169" s="1">
        <v>5.95</v>
      </c>
      <c r="O169" s="6">
        <v>4</v>
      </c>
      <c r="P169" s="7">
        <f t="shared" si="4"/>
        <v>23.8</v>
      </c>
      <c r="Q169">
        <v>0</v>
      </c>
      <c r="R169" s="4" t="s">
        <v>67</v>
      </c>
      <c r="S169" s="8">
        <v>0</v>
      </c>
      <c r="T169" s="7">
        <f t="shared" si="5"/>
        <v>23.8</v>
      </c>
    </row>
    <row r="170" spans="1:20" x14ac:dyDescent="0.3">
      <c r="A170">
        <v>169</v>
      </c>
      <c r="B170" s="4">
        <v>44782</v>
      </c>
      <c r="C170" s="5">
        <v>44782</v>
      </c>
      <c r="D170">
        <v>6678</v>
      </c>
      <c r="E170" t="s">
        <v>102</v>
      </c>
      <c r="F170">
        <v>26018</v>
      </c>
      <c r="G170" t="s">
        <v>251</v>
      </c>
      <c r="H170" t="s">
        <v>53</v>
      </c>
      <c r="I170" t="s">
        <v>297</v>
      </c>
      <c r="J170" t="s">
        <v>296</v>
      </c>
      <c r="K170" t="s">
        <v>28</v>
      </c>
      <c r="L170" t="s">
        <v>29</v>
      </c>
      <c r="N170" s="1">
        <v>12</v>
      </c>
      <c r="O170" s="6">
        <v>8</v>
      </c>
      <c r="P170" s="7">
        <f t="shared" si="4"/>
        <v>96</v>
      </c>
      <c r="Q170">
        <v>3</v>
      </c>
      <c r="R170" s="4" t="s">
        <v>68</v>
      </c>
      <c r="S170" s="8">
        <v>0.08</v>
      </c>
      <c r="T170" s="7">
        <f t="shared" si="5"/>
        <v>88.32</v>
      </c>
    </row>
    <row r="171" spans="1:20" x14ac:dyDescent="0.3">
      <c r="A171">
        <v>170</v>
      </c>
      <c r="B171" s="4">
        <v>44782</v>
      </c>
      <c r="C171" s="5">
        <v>44782</v>
      </c>
      <c r="D171">
        <v>6892</v>
      </c>
      <c r="E171" t="s">
        <v>93</v>
      </c>
      <c r="F171">
        <v>25764</v>
      </c>
      <c r="G171" t="s">
        <v>204</v>
      </c>
      <c r="H171" t="s">
        <v>50</v>
      </c>
      <c r="I171" t="s">
        <v>297</v>
      </c>
      <c r="J171" t="s">
        <v>296</v>
      </c>
      <c r="K171" t="s">
        <v>5</v>
      </c>
      <c r="L171" t="s">
        <v>6</v>
      </c>
      <c r="N171" s="1">
        <v>5.95</v>
      </c>
      <c r="O171" s="6">
        <v>2</v>
      </c>
      <c r="P171" s="7">
        <f t="shared" si="4"/>
        <v>11.9</v>
      </c>
      <c r="Q171">
        <v>5</v>
      </c>
      <c r="R171" s="4" t="s">
        <v>69</v>
      </c>
      <c r="S171" s="8">
        <v>0.15</v>
      </c>
      <c r="T171" s="7">
        <f t="shared" si="5"/>
        <v>10.115</v>
      </c>
    </row>
    <row r="172" spans="1:20" x14ac:dyDescent="0.3">
      <c r="A172">
        <v>171</v>
      </c>
      <c r="B172" s="4">
        <v>44782</v>
      </c>
      <c r="C172" s="5">
        <v>44782</v>
      </c>
      <c r="D172">
        <v>8064</v>
      </c>
      <c r="E172" t="s">
        <v>90</v>
      </c>
      <c r="F172">
        <v>18982</v>
      </c>
      <c r="G172" t="s">
        <v>199</v>
      </c>
      <c r="H172" t="s">
        <v>55</v>
      </c>
      <c r="I172" t="s">
        <v>297</v>
      </c>
      <c r="J172" t="s">
        <v>296</v>
      </c>
      <c r="K172" t="s">
        <v>21</v>
      </c>
      <c r="L172" t="s">
        <v>22</v>
      </c>
      <c r="N172" s="1">
        <v>7.5</v>
      </c>
      <c r="O172" s="6">
        <v>1</v>
      </c>
      <c r="P172" s="7">
        <f t="shared" si="4"/>
        <v>7.5</v>
      </c>
      <c r="Q172">
        <v>0</v>
      </c>
      <c r="R172" s="4" t="s">
        <v>67</v>
      </c>
      <c r="S172" s="8">
        <v>0</v>
      </c>
      <c r="T172" s="7">
        <f t="shared" si="5"/>
        <v>7.5</v>
      </c>
    </row>
    <row r="173" spans="1:20" x14ac:dyDescent="0.3">
      <c r="A173">
        <v>172</v>
      </c>
      <c r="B173" s="4">
        <v>44783</v>
      </c>
      <c r="C173" s="5">
        <v>44783</v>
      </c>
      <c r="D173">
        <v>5400</v>
      </c>
      <c r="E173" t="s">
        <v>99</v>
      </c>
      <c r="F173">
        <v>25511</v>
      </c>
      <c r="G173" t="s">
        <v>206</v>
      </c>
      <c r="H173" t="s">
        <v>57</v>
      </c>
      <c r="I173" t="s">
        <v>297</v>
      </c>
      <c r="J173" t="s">
        <v>296</v>
      </c>
      <c r="K173" t="s">
        <v>12</v>
      </c>
      <c r="L173" t="s">
        <v>13</v>
      </c>
      <c r="N173" s="1">
        <v>9</v>
      </c>
      <c r="O173" s="6">
        <v>1</v>
      </c>
      <c r="P173" s="7">
        <f t="shared" si="4"/>
        <v>9</v>
      </c>
      <c r="Q173">
        <v>5</v>
      </c>
      <c r="R173" s="4" t="s">
        <v>69</v>
      </c>
      <c r="S173" s="8">
        <v>0.15</v>
      </c>
      <c r="T173" s="7">
        <f t="shared" si="5"/>
        <v>7.65</v>
      </c>
    </row>
    <row r="174" spans="1:20" x14ac:dyDescent="0.3">
      <c r="A174">
        <v>173</v>
      </c>
      <c r="B174" s="4">
        <v>44785</v>
      </c>
      <c r="C174" s="5">
        <v>44785</v>
      </c>
      <c r="D174">
        <v>8064</v>
      </c>
      <c r="E174" t="s">
        <v>90</v>
      </c>
      <c r="F174">
        <v>24735</v>
      </c>
      <c r="G174" t="s">
        <v>252</v>
      </c>
      <c r="H174" t="s">
        <v>300</v>
      </c>
      <c r="I174" t="s">
        <v>298</v>
      </c>
      <c r="J174" t="s">
        <v>296</v>
      </c>
      <c r="K174" t="s">
        <v>7</v>
      </c>
      <c r="L174" t="s">
        <v>8</v>
      </c>
      <c r="N174" s="1">
        <v>5.95</v>
      </c>
      <c r="O174" s="6">
        <v>3</v>
      </c>
      <c r="P174" s="7">
        <f t="shared" si="4"/>
        <v>17.850000000000001</v>
      </c>
      <c r="Q174">
        <v>3</v>
      </c>
      <c r="R174" s="4" t="s">
        <v>68</v>
      </c>
      <c r="S174" s="8">
        <v>0.08</v>
      </c>
      <c r="T174" s="7">
        <f t="shared" si="5"/>
        <v>16.422000000000001</v>
      </c>
    </row>
    <row r="175" spans="1:20" x14ac:dyDescent="0.3">
      <c r="A175">
        <v>174</v>
      </c>
      <c r="B175" s="4">
        <v>44785</v>
      </c>
      <c r="C175" s="5">
        <v>44785</v>
      </c>
      <c r="D175">
        <v>8064</v>
      </c>
      <c r="E175" t="s">
        <v>90</v>
      </c>
      <c r="F175">
        <v>23450</v>
      </c>
      <c r="G175" t="s">
        <v>145</v>
      </c>
      <c r="H175" t="s">
        <v>56</v>
      </c>
      <c r="I175" t="s">
        <v>297</v>
      </c>
      <c r="J175" t="s">
        <v>296</v>
      </c>
      <c r="K175" t="s">
        <v>12</v>
      </c>
      <c r="L175" t="s">
        <v>13</v>
      </c>
      <c r="N175" s="1">
        <v>9</v>
      </c>
      <c r="O175" s="6">
        <v>5</v>
      </c>
      <c r="P175" s="7">
        <f t="shared" si="4"/>
        <v>45</v>
      </c>
      <c r="Q175">
        <v>3</v>
      </c>
      <c r="R175" s="4" t="s">
        <v>68</v>
      </c>
      <c r="S175" s="8">
        <v>0.08</v>
      </c>
      <c r="T175" s="7">
        <f t="shared" si="5"/>
        <v>41.4</v>
      </c>
    </row>
    <row r="176" spans="1:20" x14ac:dyDescent="0.3">
      <c r="A176">
        <v>175</v>
      </c>
      <c r="B176" s="4">
        <v>44785</v>
      </c>
      <c r="C176" s="5">
        <v>44785</v>
      </c>
      <c r="D176">
        <v>6678</v>
      </c>
      <c r="E176" t="s">
        <v>102</v>
      </c>
      <c r="F176">
        <v>12856</v>
      </c>
      <c r="G176" t="s">
        <v>253</v>
      </c>
      <c r="H176" t="s">
        <v>61</v>
      </c>
      <c r="I176" t="s">
        <v>297</v>
      </c>
      <c r="J176" t="s">
        <v>296</v>
      </c>
      <c r="K176" t="s">
        <v>7</v>
      </c>
      <c r="L176" t="s">
        <v>8</v>
      </c>
      <c r="N176" s="1">
        <v>5.95</v>
      </c>
      <c r="O176" s="6">
        <v>7</v>
      </c>
      <c r="P176" s="7">
        <f t="shared" si="4"/>
        <v>41.65</v>
      </c>
      <c r="Q176">
        <v>2</v>
      </c>
      <c r="R176" s="4" t="s">
        <v>71</v>
      </c>
      <c r="S176" s="8">
        <v>0.06</v>
      </c>
      <c r="T176" s="7">
        <f t="shared" si="5"/>
        <v>39.150999999999996</v>
      </c>
    </row>
    <row r="177" spans="1:20" x14ac:dyDescent="0.3">
      <c r="A177">
        <v>176</v>
      </c>
      <c r="B177" s="4">
        <v>44788</v>
      </c>
      <c r="C177" s="5">
        <v>44788</v>
      </c>
      <c r="D177">
        <v>6571</v>
      </c>
      <c r="E177" t="s">
        <v>96</v>
      </c>
      <c r="F177">
        <v>15616</v>
      </c>
      <c r="G177" t="s">
        <v>254</v>
      </c>
      <c r="H177" t="s">
        <v>53</v>
      </c>
      <c r="I177" t="s">
        <v>297</v>
      </c>
      <c r="J177" t="s">
        <v>296</v>
      </c>
      <c r="K177" t="s">
        <v>23</v>
      </c>
      <c r="L177" t="s">
        <v>24</v>
      </c>
      <c r="N177" s="1">
        <v>7.5</v>
      </c>
      <c r="O177" s="6">
        <v>10</v>
      </c>
      <c r="P177" s="7">
        <f t="shared" si="4"/>
        <v>75</v>
      </c>
      <c r="Q177">
        <v>5</v>
      </c>
      <c r="R177" s="4" t="s">
        <v>69</v>
      </c>
      <c r="S177" s="8">
        <v>0.15</v>
      </c>
      <c r="T177" s="7">
        <f t="shared" si="5"/>
        <v>63.75</v>
      </c>
    </row>
    <row r="178" spans="1:20" x14ac:dyDescent="0.3">
      <c r="A178">
        <v>177</v>
      </c>
      <c r="B178" s="4">
        <v>44788</v>
      </c>
      <c r="C178" s="5">
        <v>44788</v>
      </c>
      <c r="D178">
        <v>8064</v>
      </c>
      <c r="E178" t="s">
        <v>90</v>
      </c>
      <c r="F178">
        <v>28317</v>
      </c>
      <c r="G178" t="s">
        <v>232</v>
      </c>
      <c r="H178" t="s">
        <v>56</v>
      </c>
      <c r="I178" t="s">
        <v>297</v>
      </c>
      <c r="J178" t="s">
        <v>296</v>
      </c>
      <c r="K178" t="s">
        <v>14</v>
      </c>
      <c r="L178" t="s">
        <v>15</v>
      </c>
      <c r="N178" s="1">
        <v>9.5</v>
      </c>
      <c r="O178" s="6">
        <v>3</v>
      </c>
      <c r="P178" s="7">
        <f t="shared" si="4"/>
        <v>28.5</v>
      </c>
      <c r="Q178">
        <v>5</v>
      </c>
      <c r="R178" s="4" t="s">
        <v>69</v>
      </c>
      <c r="S178" s="8">
        <v>0.15</v>
      </c>
      <c r="T178" s="7">
        <f t="shared" si="5"/>
        <v>24.225000000000001</v>
      </c>
    </row>
    <row r="179" spans="1:20" x14ac:dyDescent="0.3">
      <c r="A179">
        <v>178</v>
      </c>
      <c r="B179" s="4">
        <v>44788</v>
      </c>
      <c r="C179" s="5">
        <v>44788</v>
      </c>
      <c r="D179">
        <v>5382</v>
      </c>
      <c r="E179" t="s">
        <v>92</v>
      </c>
      <c r="F179">
        <v>23133</v>
      </c>
      <c r="G179" t="s">
        <v>255</v>
      </c>
      <c r="H179" t="s">
        <v>54</v>
      </c>
      <c r="I179" t="s">
        <v>297</v>
      </c>
      <c r="J179" t="s">
        <v>296</v>
      </c>
      <c r="K179" t="s">
        <v>19</v>
      </c>
      <c r="L179" t="s">
        <v>20</v>
      </c>
      <c r="N179" s="1">
        <v>7.5</v>
      </c>
      <c r="O179" s="6">
        <v>4</v>
      </c>
      <c r="P179" s="7">
        <f t="shared" si="4"/>
        <v>30</v>
      </c>
      <c r="Q179">
        <v>5</v>
      </c>
      <c r="R179" s="4" t="s">
        <v>69</v>
      </c>
      <c r="S179" s="8">
        <v>0.15</v>
      </c>
      <c r="T179" s="7">
        <f t="shared" si="5"/>
        <v>25.5</v>
      </c>
    </row>
    <row r="180" spans="1:20" x14ac:dyDescent="0.3">
      <c r="A180">
        <v>179</v>
      </c>
      <c r="B180" s="4">
        <v>44789</v>
      </c>
      <c r="C180" s="5">
        <v>44789</v>
      </c>
      <c r="D180">
        <v>6143</v>
      </c>
      <c r="E180" t="s">
        <v>104</v>
      </c>
      <c r="F180">
        <v>22645</v>
      </c>
      <c r="G180" t="s">
        <v>176</v>
      </c>
      <c r="H180" t="s">
        <v>54</v>
      </c>
      <c r="I180" t="s">
        <v>297</v>
      </c>
      <c r="J180" t="s">
        <v>296</v>
      </c>
      <c r="K180" t="s">
        <v>21</v>
      </c>
      <c r="L180" t="s">
        <v>22</v>
      </c>
      <c r="N180" s="1">
        <v>7.5</v>
      </c>
      <c r="O180" s="6">
        <v>9</v>
      </c>
      <c r="P180" s="7">
        <f t="shared" si="4"/>
        <v>67.5</v>
      </c>
      <c r="Q180">
        <v>3</v>
      </c>
      <c r="R180" s="4" t="s">
        <v>68</v>
      </c>
      <c r="S180" s="8">
        <v>0.08</v>
      </c>
      <c r="T180" s="7">
        <f t="shared" si="5"/>
        <v>62.1</v>
      </c>
    </row>
    <row r="181" spans="1:20" x14ac:dyDescent="0.3">
      <c r="A181">
        <v>180</v>
      </c>
      <c r="B181" s="4">
        <v>44789</v>
      </c>
      <c r="C181" s="5">
        <v>44789</v>
      </c>
      <c r="D181">
        <v>6678</v>
      </c>
      <c r="E181" t="s">
        <v>102</v>
      </c>
      <c r="F181">
        <v>22883</v>
      </c>
      <c r="G181" t="s">
        <v>256</v>
      </c>
      <c r="H181" t="s">
        <v>63</v>
      </c>
      <c r="I181" t="s">
        <v>297</v>
      </c>
      <c r="J181" t="s">
        <v>296</v>
      </c>
      <c r="K181" t="s">
        <v>28</v>
      </c>
      <c r="L181" t="s">
        <v>29</v>
      </c>
      <c r="N181" s="1">
        <v>12</v>
      </c>
      <c r="O181" s="6">
        <v>9</v>
      </c>
      <c r="P181" s="7">
        <f t="shared" si="4"/>
        <v>108</v>
      </c>
      <c r="Q181">
        <v>0</v>
      </c>
      <c r="R181" s="4" t="s">
        <v>67</v>
      </c>
      <c r="S181" s="8">
        <v>0</v>
      </c>
      <c r="T181" s="7">
        <f t="shared" si="5"/>
        <v>108</v>
      </c>
    </row>
    <row r="182" spans="1:20" x14ac:dyDescent="0.3">
      <c r="A182">
        <v>181</v>
      </c>
      <c r="B182" s="4">
        <v>44790</v>
      </c>
      <c r="C182" s="5">
        <v>44790</v>
      </c>
      <c r="D182">
        <v>5400</v>
      </c>
      <c r="E182" t="s">
        <v>99</v>
      </c>
      <c r="F182">
        <v>17696</v>
      </c>
      <c r="G182" t="s">
        <v>240</v>
      </c>
      <c r="H182" t="s">
        <v>49</v>
      </c>
      <c r="I182" t="s">
        <v>297</v>
      </c>
      <c r="J182" t="s">
        <v>296</v>
      </c>
      <c r="K182" t="s">
        <v>19</v>
      </c>
      <c r="L182" t="s">
        <v>20</v>
      </c>
      <c r="N182" s="1">
        <v>7.5</v>
      </c>
      <c r="O182" s="6">
        <v>10</v>
      </c>
      <c r="P182" s="7">
        <f t="shared" si="4"/>
        <v>75</v>
      </c>
      <c r="Q182">
        <v>1</v>
      </c>
      <c r="R182" s="4" t="s">
        <v>70</v>
      </c>
      <c r="S182" s="8">
        <v>0.05</v>
      </c>
      <c r="T182" s="7">
        <f t="shared" si="5"/>
        <v>71.25</v>
      </c>
    </row>
    <row r="183" spans="1:20" x14ac:dyDescent="0.3">
      <c r="A183">
        <v>182</v>
      </c>
      <c r="B183" s="4">
        <v>44790</v>
      </c>
      <c r="C183" s="5">
        <v>44790</v>
      </c>
      <c r="D183">
        <v>6357</v>
      </c>
      <c r="E183" t="s">
        <v>98</v>
      </c>
      <c r="F183">
        <v>18962</v>
      </c>
      <c r="G183" t="s">
        <v>233</v>
      </c>
      <c r="H183" t="s">
        <v>56</v>
      </c>
      <c r="I183" t="s">
        <v>297</v>
      </c>
      <c r="J183" t="s">
        <v>296</v>
      </c>
      <c r="K183" t="s">
        <v>21</v>
      </c>
      <c r="L183" t="s">
        <v>22</v>
      </c>
      <c r="N183" s="1">
        <v>7.5</v>
      </c>
      <c r="O183" s="6">
        <v>1</v>
      </c>
      <c r="P183" s="7">
        <f t="shared" si="4"/>
        <v>7.5</v>
      </c>
      <c r="Q183">
        <v>4</v>
      </c>
      <c r="R183" s="4" t="s">
        <v>66</v>
      </c>
      <c r="S183" s="8">
        <v>0.1</v>
      </c>
      <c r="T183" s="7">
        <f t="shared" si="5"/>
        <v>6.75</v>
      </c>
    </row>
    <row r="184" spans="1:20" x14ac:dyDescent="0.3">
      <c r="A184">
        <v>183</v>
      </c>
      <c r="B184" s="4">
        <v>44790</v>
      </c>
      <c r="C184" s="5">
        <v>44790</v>
      </c>
      <c r="D184">
        <v>5400</v>
      </c>
      <c r="E184" t="s">
        <v>99</v>
      </c>
      <c r="F184">
        <v>23448</v>
      </c>
      <c r="G184" t="s">
        <v>257</v>
      </c>
      <c r="H184" t="s">
        <v>51</v>
      </c>
      <c r="I184" t="s">
        <v>298</v>
      </c>
      <c r="J184" t="s">
        <v>296</v>
      </c>
      <c r="K184" t="s">
        <v>23</v>
      </c>
      <c r="L184" t="s">
        <v>24</v>
      </c>
      <c r="N184" s="1">
        <v>7.5</v>
      </c>
      <c r="O184" s="6">
        <v>10</v>
      </c>
      <c r="P184" s="7">
        <f t="shared" si="4"/>
        <v>75</v>
      </c>
      <c r="Q184">
        <v>2</v>
      </c>
      <c r="R184" s="4" t="s">
        <v>71</v>
      </c>
      <c r="S184" s="8">
        <v>0.06</v>
      </c>
      <c r="T184" s="7">
        <f t="shared" si="5"/>
        <v>70.5</v>
      </c>
    </row>
    <row r="185" spans="1:20" x14ac:dyDescent="0.3">
      <c r="A185">
        <v>184</v>
      </c>
      <c r="B185" s="4">
        <v>44791</v>
      </c>
      <c r="C185" s="5">
        <v>44791</v>
      </c>
      <c r="D185">
        <v>6250</v>
      </c>
      <c r="E185" t="s">
        <v>94</v>
      </c>
      <c r="F185">
        <v>26510</v>
      </c>
      <c r="G185" t="s">
        <v>258</v>
      </c>
      <c r="H185" t="s">
        <v>51</v>
      </c>
      <c r="I185" t="s">
        <v>298</v>
      </c>
      <c r="J185" t="s">
        <v>296</v>
      </c>
      <c r="K185" t="s">
        <v>16</v>
      </c>
      <c r="L185" t="s">
        <v>17</v>
      </c>
      <c r="N185" s="1">
        <v>10</v>
      </c>
      <c r="O185" s="6">
        <v>9</v>
      </c>
      <c r="P185" s="7">
        <f t="shared" si="4"/>
        <v>90</v>
      </c>
      <c r="Q185">
        <v>0</v>
      </c>
      <c r="R185" s="4" t="s">
        <v>67</v>
      </c>
      <c r="S185" s="8">
        <v>0</v>
      </c>
      <c r="T185" s="7">
        <f t="shared" si="5"/>
        <v>90</v>
      </c>
    </row>
    <row r="186" spans="1:20" x14ac:dyDescent="0.3">
      <c r="A186">
        <v>185</v>
      </c>
      <c r="B186" s="4">
        <v>44791</v>
      </c>
      <c r="C186" s="5">
        <v>44791</v>
      </c>
      <c r="D186">
        <v>6892</v>
      </c>
      <c r="E186" t="s">
        <v>93</v>
      </c>
      <c r="F186">
        <v>17067</v>
      </c>
      <c r="G186" t="s">
        <v>189</v>
      </c>
      <c r="H186" t="s">
        <v>300</v>
      </c>
      <c r="I186" t="s">
        <v>298</v>
      </c>
      <c r="J186" t="s">
        <v>296</v>
      </c>
      <c r="K186" t="s">
        <v>14</v>
      </c>
      <c r="L186" t="s">
        <v>15</v>
      </c>
      <c r="N186" s="1">
        <v>9.5</v>
      </c>
      <c r="O186" s="6">
        <v>2</v>
      </c>
      <c r="P186" s="7">
        <f t="shared" si="4"/>
        <v>19</v>
      </c>
      <c r="Q186">
        <v>3</v>
      </c>
      <c r="R186" s="4" t="s">
        <v>68</v>
      </c>
      <c r="S186" s="8">
        <v>0.08</v>
      </c>
      <c r="T186" s="7">
        <f t="shared" si="5"/>
        <v>17.48</v>
      </c>
    </row>
    <row r="187" spans="1:20" x14ac:dyDescent="0.3">
      <c r="A187">
        <v>186</v>
      </c>
      <c r="B187" s="4">
        <v>44792</v>
      </c>
      <c r="C187" s="5">
        <v>44792</v>
      </c>
      <c r="D187">
        <v>6464</v>
      </c>
      <c r="E187" t="s">
        <v>103</v>
      </c>
      <c r="F187">
        <v>23607</v>
      </c>
      <c r="G187" t="s">
        <v>259</v>
      </c>
      <c r="H187" t="s">
        <v>58</v>
      </c>
      <c r="I187" t="s">
        <v>299</v>
      </c>
      <c r="J187" t="s">
        <v>296</v>
      </c>
      <c r="K187" t="s">
        <v>30</v>
      </c>
      <c r="L187" t="s">
        <v>31</v>
      </c>
      <c r="N187" s="1">
        <v>12</v>
      </c>
      <c r="O187" s="6">
        <v>8</v>
      </c>
      <c r="P187" s="7">
        <f t="shared" si="4"/>
        <v>96</v>
      </c>
      <c r="Q187">
        <v>4</v>
      </c>
      <c r="R187" s="4" t="s">
        <v>66</v>
      </c>
      <c r="S187" s="8">
        <v>0.1</v>
      </c>
      <c r="T187" s="7">
        <f t="shared" si="5"/>
        <v>86.4</v>
      </c>
    </row>
    <row r="188" spans="1:20" x14ac:dyDescent="0.3">
      <c r="A188">
        <v>187</v>
      </c>
      <c r="B188" s="4">
        <v>44792</v>
      </c>
      <c r="C188" s="5">
        <v>44792</v>
      </c>
      <c r="D188">
        <v>6357</v>
      </c>
      <c r="E188" t="s">
        <v>98</v>
      </c>
      <c r="F188">
        <v>17038</v>
      </c>
      <c r="G188" t="s">
        <v>162</v>
      </c>
      <c r="H188" t="s">
        <v>47</v>
      </c>
      <c r="I188" t="s">
        <v>297</v>
      </c>
      <c r="J188" t="s">
        <v>296</v>
      </c>
      <c r="K188" t="s">
        <v>28</v>
      </c>
      <c r="L188" t="s">
        <v>29</v>
      </c>
      <c r="N188" s="1">
        <v>12</v>
      </c>
      <c r="O188" s="6">
        <v>10</v>
      </c>
      <c r="P188" s="7">
        <f t="shared" si="4"/>
        <v>120</v>
      </c>
      <c r="Q188">
        <v>1</v>
      </c>
      <c r="R188" s="4" t="s">
        <v>70</v>
      </c>
      <c r="S188" s="8">
        <v>0.05</v>
      </c>
      <c r="T188" s="7">
        <f t="shared" si="5"/>
        <v>114</v>
      </c>
    </row>
    <row r="189" spans="1:20" x14ac:dyDescent="0.3">
      <c r="A189">
        <v>188</v>
      </c>
      <c r="B189" s="4">
        <v>44792</v>
      </c>
      <c r="C189" s="5">
        <v>44792</v>
      </c>
      <c r="D189">
        <v>6464</v>
      </c>
      <c r="E189" t="s">
        <v>103</v>
      </c>
      <c r="F189">
        <v>10828</v>
      </c>
      <c r="G189" t="s">
        <v>220</v>
      </c>
      <c r="H189" t="s">
        <v>49</v>
      </c>
      <c r="I189" t="s">
        <v>297</v>
      </c>
      <c r="J189" t="s">
        <v>296</v>
      </c>
      <c r="K189" t="s">
        <v>23</v>
      </c>
      <c r="L189" t="s">
        <v>24</v>
      </c>
      <c r="N189" s="1">
        <v>7.5</v>
      </c>
      <c r="O189" s="6">
        <v>1</v>
      </c>
      <c r="P189" s="7">
        <f t="shared" si="4"/>
        <v>7.5</v>
      </c>
      <c r="Q189">
        <v>1</v>
      </c>
      <c r="R189" s="4" t="s">
        <v>70</v>
      </c>
      <c r="S189" s="8">
        <v>0.05</v>
      </c>
      <c r="T189" s="7">
        <f t="shared" si="5"/>
        <v>7.125</v>
      </c>
    </row>
    <row r="190" spans="1:20" x14ac:dyDescent="0.3">
      <c r="A190">
        <v>189</v>
      </c>
      <c r="B190" s="4">
        <v>44792</v>
      </c>
      <c r="C190" s="5">
        <v>44792</v>
      </c>
      <c r="D190">
        <v>4350</v>
      </c>
      <c r="E190" t="s">
        <v>100</v>
      </c>
      <c r="F190">
        <v>25329</v>
      </c>
      <c r="G190" t="s">
        <v>231</v>
      </c>
      <c r="H190" t="s">
        <v>48</v>
      </c>
      <c r="I190" t="s">
        <v>297</v>
      </c>
      <c r="J190" t="s">
        <v>296</v>
      </c>
      <c r="K190" t="s">
        <v>28</v>
      </c>
      <c r="L190" t="s">
        <v>29</v>
      </c>
      <c r="N190" s="1">
        <v>12</v>
      </c>
      <c r="O190" s="6">
        <v>4</v>
      </c>
      <c r="P190" s="7">
        <f t="shared" si="4"/>
        <v>48</v>
      </c>
      <c r="Q190">
        <v>2</v>
      </c>
      <c r="R190" s="4" t="s">
        <v>71</v>
      </c>
      <c r="S190" s="8">
        <v>0.06</v>
      </c>
      <c r="T190" s="7">
        <f t="shared" si="5"/>
        <v>45.12</v>
      </c>
    </row>
    <row r="191" spans="1:20" x14ac:dyDescent="0.3">
      <c r="A191">
        <v>190</v>
      </c>
      <c r="B191" s="4">
        <v>44792</v>
      </c>
      <c r="C191" s="5">
        <v>44792</v>
      </c>
      <c r="D191">
        <v>6892</v>
      </c>
      <c r="E191" t="s">
        <v>93</v>
      </c>
      <c r="F191">
        <v>23361</v>
      </c>
      <c r="G191" t="s">
        <v>260</v>
      </c>
      <c r="H191" t="s">
        <v>54</v>
      </c>
      <c r="I191" t="s">
        <v>297</v>
      </c>
      <c r="J191" t="s">
        <v>296</v>
      </c>
      <c r="K191" t="s">
        <v>5</v>
      </c>
      <c r="L191" t="s">
        <v>6</v>
      </c>
      <c r="N191" s="1">
        <v>5.95</v>
      </c>
      <c r="O191" s="6">
        <v>4</v>
      </c>
      <c r="P191" s="7">
        <f t="shared" si="4"/>
        <v>23.8</v>
      </c>
      <c r="Q191">
        <v>0</v>
      </c>
      <c r="R191" s="4" t="s">
        <v>67</v>
      </c>
      <c r="S191" s="8">
        <v>0</v>
      </c>
      <c r="T191" s="7">
        <f t="shared" si="5"/>
        <v>23.8</v>
      </c>
    </row>
    <row r="192" spans="1:20" x14ac:dyDescent="0.3">
      <c r="A192">
        <v>191</v>
      </c>
      <c r="B192" s="4">
        <v>44793</v>
      </c>
      <c r="C192" s="5">
        <v>44793</v>
      </c>
      <c r="D192">
        <v>6464</v>
      </c>
      <c r="E192" t="s">
        <v>103</v>
      </c>
      <c r="F192">
        <v>10793</v>
      </c>
      <c r="G192" t="s">
        <v>230</v>
      </c>
      <c r="H192" t="s">
        <v>53</v>
      </c>
      <c r="I192" t="s">
        <v>297</v>
      </c>
      <c r="J192" t="s">
        <v>296</v>
      </c>
      <c r="K192" t="s">
        <v>9</v>
      </c>
      <c r="L192" t="s">
        <v>10</v>
      </c>
      <c r="N192" s="1">
        <v>5.95</v>
      </c>
      <c r="O192" s="6">
        <v>3</v>
      </c>
      <c r="P192" s="7">
        <f t="shared" si="4"/>
        <v>17.850000000000001</v>
      </c>
      <c r="Q192">
        <v>4</v>
      </c>
      <c r="R192" s="4" t="s">
        <v>66</v>
      </c>
      <c r="S192" s="8">
        <v>0.1</v>
      </c>
      <c r="T192" s="7">
        <f t="shared" si="5"/>
        <v>16.065000000000001</v>
      </c>
    </row>
    <row r="193" spans="1:20" x14ac:dyDescent="0.3">
      <c r="A193">
        <v>192</v>
      </c>
      <c r="B193" s="4">
        <v>44793</v>
      </c>
      <c r="C193" s="5">
        <v>44793</v>
      </c>
      <c r="D193">
        <v>6464</v>
      </c>
      <c r="E193" t="s">
        <v>103</v>
      </c>
      <c r="F193">
        <v>25772</v>
      </c>
      <c r="G193" t="s">
        <v>226</v>
      </c>
      <c r="H193" t="s">
        <v>62</v>
      </c>
      <c r="I193" t="s">
        <v>297</v>
      </c>
      <c r="J193" t="s">
        <v>296</v>
      </c>
      <c r="K193" t="s">
        <v>30</v>
      </c>
      <c r="L193" t="s">
        <v>31</v>
      </c>
      <c r="N193" s="1">
        <v>12</v>
      </c>
      <c r="O193" s="6">
        <v>3</v>
      </c>
      <c r="P193" s="7">
        <f t="shared" si="4"/>
        <v>36</v>
      </c>
      <c r="Q193">
        <v>2</v>
      </c>
      <c r="R193" s="4" t="s">
        <v>71</v>
      </c>
      <c r="S193" s="8">
        <v>0.06</v>
      </c>
      <c r="T193" s="7">
        <f t="shared" si="5"/>
        <v>33.840000000000003</v>
      </c>
    </row>
    <row r="194" spans="1:20" x14ac:dyDescent="0.3">
      <c r="A194">
        <v>193</v>
      </c>
      <c r="B194" s="4">
        <v>44793</v>
      </c>
      <c r="C194" s="5">
        <v>44793</v>
      </c>
      <c r="D194">
        <v>4350</v>
      </c>
      <c r="E194" t="s">
        <v>100</v>
      </c>
      <c r="F194">
        <v>15616</v>
      </c>
      <c r="G194" t="s">
        <v>254</v>
      </c>
      <c r="H194" t="s">
        <v>53</v>
      </c>
      <c r="I194" t="s">
        <v>297</v>
      </c>
      <c r="J194" t="s">
        <v>296</v>
      </c>
      <c r="K194" t="s">
        <v>21</v>
      </c>
      <c r="L194" t="s">
        <v>22</v>
      </c>
      <c r="N194" s="1">
        <v>7.5</v>
      </c>
      <c r="O194" s="6">
        <v>4</v>
      </c>
      <c r="P194" s="7">
        <f t="shared" ref="P194:P257" si="6">N194*O194</f>
        <v>30</v>
      </c>
      <c r="Q194">
        <v>1</v>
      </c>
      <c r="R194" s="4" t="s">
        <v>70</v>
      </c>
      <c r="S194" s="8">
        <v>0.05</v>
      </c>
      <c r="T194" s="7">
        <f t="shared" ref="T194:T257" si="7">P194-P194*S194</f>
        <v>28.5</v>
      </c>
    </row>
    <row r="195" spans="1:20" x14ac:dyDescent="0.3">
      <c r="A195">
        <v>194</v>
      </c>
      <c r="B195" s="4">
        <v>44793</v>
      </c>
      <c r="C195" s="5">
        <v>44793</v>
      </c>
      <c r="D195">
        <v>8064</v>
      </c>
      <c r="E195" t="s">
        <v>90</v>
      </c>
      <c r="F195">
        <v>12504</v>
      </c>
      <c r="G195" t="s">
        <v>261</v>
      </c>
      <c r="H195" t="s">
        <v>51</v>
      </c>
      <c r="I195" t="s">
        <v>298</v>
      </c>
      <c r="J195" t="s">
        <v>296</v>
      </c>
      <c r="K195" t="s">
        <v>9</v>
      </c>
      <c r="L195" t="s">
        <v>10</v>
      </c>
      <c r="N195" s="1">
        <v>5.95</v>
      </c>
      <c r="O195" s="6">
        <v>5</v>
      </c>
      <c r="P195" s="7">
        <f t="shared" si="6"/>
        <v>29.75</v>
      </c>
      <c r="Q195">
        <v>0</v>
      </c>
      <c r="R195" s="4" t="s">
        <v>67</v>
      </c>
      <c r="S195" s="8">
        <v>0</v>
      </c>
      <c r="T195" s="7">
        <f t="shared" si="7"/>
        <v>29.75</v>
      </c>
    </row>
    <row r="196" spans="1:20" x14ac:dyDescent="0.3">
      <c r="A196">
        <v>195</v>
      </c>
      <c r="B196" s="4">
        <v>44793</v>
      </c>
      <c r="C196" s="5">
        <v>44793</v>
      </c>
      <c r="D196">
        <v>6143</v>
      </c>
      <c r="E196" t="s">
        <v>104</v>
      </c>
      <c r="F196">
        <v>15868</v>
      </c>
      <c r="G196" t="s">
        <v>239</v>
      </c>
      <c r="H196" t="s">
        <v>47</v>
      </c>
      <c r="I196" t="s">
        <v>297</v>
      </c>
      <c r="J196" t="s">
        <v>296</v>
      </c>
      <c r="K196" t="s">
        <v>21</v>
      </c>
      <c r="L196" t="s">
        <v>22</v>
      </c>
      <c r="N196" s="1">
        <v>7.5</v>
      </c>
      <c r="O196" s="6">
        <v>1</v>
      </c>
      <c r="P196" s="7">
        <f t="shared" si="6"/>
        <v>7.5</v>
      </c>
      <c r="Q196">
        <v>1</v>
      </c>
      <c r="R196" s="4" t="s">
        <v>70</v>
      </c>
      <c r="S196" s="8">
        <v>0.05</v>
      </c>
      <c r="T196" s="7">
        <f t="shared" si="7"/>
        <v>7.125</v>
      </c>
    </row>
    <row r="197" spans="1:20" x14ac:dyDescent="0.3">
      <c r="A197">
        <v>196</v>
      </c>
      <c r="B197" s="4">
        <v>44794</v>
      </c>
      <c r="C197" s="5">
        <v>44794</v>
      </c>
      <c r="D197">
        <v>6464</v>
      </c>
      <c r="E197" t="s">
        <v>103</v>
      </c>
      <c r="F197">
        <v>22611</v>
      </c>
      <c r="G197" t="s">
        <v>180</v>
      </c>
      <c r="H197" t="s">
        <v>55</v>
      </c>
      <c r="I197" t="s">
        <v>297</v>
      </c>
      <c r="J197" t="s">
        <v>296</v>
      </c>
      <c r="K197" t="s">
        <v>14</v>
      </c>
      <c r="L197" t="s">
        <v>15</v>
      </c>
      <c r="N197" s="1">
        <v>9.5</v>
      </c>
      <c r="O197" s="6">
        <v>5</v>
      </c>
      <c r="P197" s="7">
        <f t="shared" si="6"/>
        <v>47.5</v>
      </c>
      <c r="Q197">
        <v>4</v>
      </c>
      <c r="R197" s="4" t="s">
        <v>66</v>
      </c>
      <c r="S197" s="8">
        <v>0.1</v>
      </c>
      <c r="T197" s="7">
        <f t="shared" si="7"/>
        <v>42.75</v>
      </c>
    </row>
    <row r="198" spans="1:20" x14ac:dyDescent="0.3">
      <c r="A198">
        <v>197</v>
      </c>
      <c r="B198" s="4">
        <v>44794</v>
      </c>
      <c r="C198" s="5">
        <v>44794</v>
      </c>
      <c r="D198">
        <v>8064</v>
      </c>
      <c r="E198" t="s">
        <v>90</v>
      </c>
      <c r="F198">
        <v>24537</v>
      </c>
      <c r="G198" t="s">
        <v>245</v>
      </c>
      <c r="H198" t="s">
        <v>63</v>
      </c>
      <c r="I198" t="s">
        <v>297</v>
      </c>
      <c r="J198" t="s">
        <v>296</v>
      </c>
      <c r="K198" t="s">
        <v>21</v>
      </c>
      <c r="L198" t="s">
        <v>22</v>
      </c>
      <c r="N198" s="1">
        <v>7.5</v>
      </c>
      <c r="O198" s="6">
        <v>4</v>
      </c>
      <c r="P198" s="7">
        <f t="shared" si="6"/>
        <v>30</v>
      </c>
      <c r="Q198">
        <v>2</v>
      </c>
      <c r="R198" s="4" t="s">
        <v>71</v>
      </c>
      <c r="S198" s="8">
        <v>0.06</v>
      </c>
      <c r="T198" s="7">
        <f t="shared" si="7"/>
        <v>28.2</v>
      </c>
    </row>
    <row r="199" spans="1:20" x14ac:dyDescent="0.3">
      <c r="A199">
        <v>198</v>
      </c>
      <c r="B199" s="4">
        <v>44795</v>
      </c>
      <c r="C199" s="5">
        <v>44795</v>
      </c>
      <c r="D199">
        <v>6678</v>
      </c>
      <c r="E199" t="s">
        <v>102</v>
      </c>
      <c r="F199">
        <v>23827</v>
      </c>
      <c r="G199" t="s">
        <v>216</v>
      </c>
      <c r="H199" t="s">
        <v>60</v>
      </c>
      <c r="I199" t="s">
        <v>297</v>
      </c>
      <c r="J199" t="s">
        <v>296</v>
      </c>
      <c r="K199" t="s">
        <v>23</v>
      </c>
      <c r="L199" t="s">
        <v>24</v>
      </c>
      <c r="N199" s="1">
        <v>7.5</v>
      </c>
      <c r="O199" s="6">
        <v>9</v>
      </c>
      <c r="P199" s="7">
        <f t="shared" si="6"/>
        <v>67.5</v>
      </c>
      <c r="Q199">
        <v>5</v>
      </c>
      <c r="R199" s="4" t="s">
        <v>69</v>
      </c>
      <c r="S199" s="8">
        <v>0.15</v>
      </c>
      <c r="T199" s="7">
        <f t="shared" si="7"/>
        <v>57.375</v>
      </c>
    </row>
    <row r="200" spans="1:20" x14ac:dyDescent="0.3">
      <c r="A200">
        <v>199</v>
      </c>
      <c r="B200" s="4">
        <v>44795</v>
      </c>
      <c r="C200" s="5">
        <v>44795</v>
      </c>
      <c r="D200">
        <v>6892</v>
      </c>
      <c r="E200" t="s">
        <v>93</v>
      </c>
      <c r="F200">
        <v>12971</v>
      </c>
      <c r="G200" t="s">
        <v>210</v>
      </c>
      <c r="H200" t="s">
        <v>48</v>
      </c>
      <c r="I200" t="s">
        <v>297</v>
      </c>
      <c r="J200" t="s">
        <v>296</v>
      </c>
      <c r="K200" t="s">
        <v>25</v>
      </c>
      <c r="L200" t="s">
        <v>26</v>
      </c>
      <c r="N200" s="1">
        <v>8</v>
      </c>
      <c r="O200" s="6">
        <v>9</v>
      </c>
      <c r="P200" s="7">
        <f t="shared" si="6"/>
        <v>72</v>
      </c>
      <c r="Q200">
        <v>0</v>
      </c>
      <c r="R200" s="4" t="s">
        <v>67</v>
      </c>
      <c r="S200" s="8">
        <v>0</v>
      </c>
      <c r="T200" s="7">
        <f t="shared" si="7"/>
        <v>72</v>
      </c>
    </row>
    <row r="201" spans="1:20" x14ac:dyDescent="0.3">
      <c r="A201">
        <v>200</v>
      </c>
      <c r="B201" s="4">
        <v>44797</v>
      </c>
      <c r="C201" s="5">
        <v>44797</v>
      </c>
      <c r="D201">
        <v>6464</v>
      </c>
      <c r="E201" t="s">
        <v>103</v>
      </c>
      <c r="F201">
        <v>15561</v>
      </c>
      <c r="G201" t="s">
        <v>143</v>
      </c>
      <c r="H201" t="s">
        <v>51</v>
      </c>
      <c r="I201" t="s">
        <v>298</v>
      </c>
      <c r="J201" t="s">
        <v>296</v>
      </c>
      <c r="K201" t="s">
        <v>5</v>
      </c>
      <c r="L201" t="s">
        <v>6</v>
      </c>
      <c r="N201" s="1">
        <v>5.95</v>
      </c>
      <c r="O201" s="6">
        <v>8</v>
      </c>
      <c r="P201" s="7">
        <f t="shared" si="6"/>
        <v>47.6</v>
      </c>
      <c r="Q201">
        <v>4</v>
      </c>
      <c r="R201" s="4" t="s">
        <v>66</v>
      </c>
      <c r="S201" s="8">
        <v>0.1</v>
      </c>
      <c r="T201" s="7">
        <f t="shared" si="7"/>
        <v>42.84</v>
      </c>
    </row>
    <row r="202" spans="1:20" x14ac:dyDescent="0.3">
      <c r="A202">
        <v>201</v>
      </c>
      <c r="B202" s="4">
        <v>44797</v>
      </c>
      <c r="C202" s="5">
        <v>44797</v>
      </c>
      <c r="D202">
        <v>6464</v>
      </c>
      <c r="E202" t="s">
        <v>103</v>
      </c>
      <c r="F202">
        <v>19842</v>
      </c>
      <c r="G202" t="s">
        <v>262</v>
      </c>
      <c r="H202" t="s">
        <v>62</v>
      </c>
      <c r="I202" t="s">
        <v>297</v>
      </c>
      <c r="J202" t="s">
        <v>296</v>
      </c>
      <c r="K202" t="s">
        <v>16</v>
      </c>
      <c r="L202" t="s">
        <v>17</v>
      </c>
      <c r="N202" s="1">
        <v>10</v>
      </c>
      <c r="O202" s="6">
        <v>8</v>
      </c>
      <c r="P202" s="7">
        <f t="shared" si="6"/>
        <v>80</v>
      </c>
      <c r="Q202">
        <v>2</v>
      </c>
      <c r="R202" s="4" t="s">
        <v>71</v>
      </c>
      <c r="S202" s="8">
        <v>0.06</v>
      </c>
      <c r="T202" s="7">
        <f t="shared" si="7"/>
        <v>75.2</v>
      </c>
    </row>
    <row r="203" spans="1:20" x14ac:dyDescent="0.3">
      <c r="A203">
        <v>202</v>
      </c>
      <c r="B203" s="4">
        <v>44798</v>
      </c>
      <c r="C203" s="5">
        <v>44798</v>
      </c>
      <c r="D203">
        <v>5382</v>
      </c>
      <c r="E203" t="s">
        <v>92</v>
      </c>
      <c r="F203">
        <v>25940</v>
      </c>
      <c r="G203" t="s">
        <v>263</v>
      </c>
      <c r="H203" t="s">
        <v>50</v>
      </c>
      <c r="I203" t="s">
        <v>297</v>
      </c>
      <c r="J203" t="s">
        <v>296</v>
      </c>
      <c r="K203" t="s">
        <v>25</v>
      </c>
      <c r="L203" t="s">
        <v>26</v>
      </c>
      <c r="N203" s="1">
        <v>8</v>
      </c>
      <c r="O203" s="6">
        <v>4</v>
      </c>
      <c r="P203" s="7">
        <f t="shared" si="6"/>
        <v>32</v>
      </c>
      <c r="Q203">
        <v>1</v>
      </c>
      <c r="R203" s="4" t="s">
        <v>70</v>
      </c>
      <c r="S203" s="8">
        <v>0.05</v>
      </c>
      <c r="T203" s="7">
        <f t="shared" si="7"/>
        <v>30.4</v>
      </c>
    </row>
    <row r="204" spans="1:20" x14ac:dyDescent="0.3">
      <c r="A204">
        <v>203</v>
      </c>
      <c r="B204" s="4">
        <v>44798</v>
      </c>
      <c r="C204" s="5">
        <v>44798</v>
      </c>
      <c r="D204">
        <v>5346</v>
      </c>
      <c r="E204" t="s">
        <v>101</v>
      </c>
      <c r="F204">
        <v>24735</v>
      </c>
      <c r="G204" t="s">
        <v>252</v>
      </c>
      <c r="H204" t="s">
        <v>300</v>
      </c>
      <c r="I204" t="s">
        <v>298</v>
      </c>
      <c r="J204" t="s">
        <v>296</v>
      </c>
      <c r="K204" t="s">
        <v>9</v>
      </c>
      <c r="L204" t="s">
        <v>10</v>
      </c>
      <c r="N204" s="1">
        <v>5.95</v>
      </c>
      <c r="O204" s="6">
        <v>9</v>
      </c>
      <c r="P204" s="7">
        <f t="shared" si="6"/>
        <v>53.550000000000004</v>
      </c>
      <c r="Q204">
        <v>1</v>
      </c>
      <c r="R204" s="4" t="s">
        <v>70</v>
      </c>
      <c r="S204" s="8">
        <v>0.05</v>
      </c>
      <c r="T204" s="7">
        <f t="shared" si="7"/>
        <v>50.872500000000002</v>
      </c>
    </row>
    <row r="205" spans="1:20" x14ac:dyDescent="0.3">
      <c r="A205">
        <v>204</v>
      </c>
      <c r="B205" s="4">
        <v>44798</v>
      </c>
      <c r="C205" s="5">
        <v>44798</v>
      </c>
      <c r="D205">
        <v>5400</v>
      </c>
      <c r="E205" t="s">
        <v>99</v>
      </c>
      <c r="F205">
        <v>16953</v>
      </c>
      <c r="G205" t="s">
        <v>234</v>
      </c>
      <c r="H205" t="s">
        <v>54</v>
      </c>
      <c r="I205" t="s">
        <v>297</v>
      </c>
      <c r="J205" t="s">
        <v>296</v>
      </c>
      <c r="K205" t="s">
        <v>32</v>
      </c>
      <c r="L205" t="s">
        <v>33</v>
      </c>
      <c r="N205" s="1">
        <v>12</v>
      </c>
      <c r="O205" s="6">
        <v>5</v>
      </c>
      <c r="P205" s="7">
        <f t="shared" si="6"/>
        <v>60</v>
      </c>
      <c r="Q205">
        <v>3</v>
      </c>
      <c r="R205" s="4" t="s">
        <v>68</v>
      </c>
      <c r="S205" s="8">
        <v>0.08</v>
      </c>
      <c r="T205" s="7">
        <f t="shared" si="7"/>
        <v>55.2</v>
      </c>
    </row>
    <row r="206" spans="1:20" x14ac:dyDescent="0.3">
      <c r="A206">
        <v>205</v>
      </c>
      <c r="B206" s="4">
        <v>44798</v>
      </c>
      <c r="C206" s="5">
        <v>44798</v>
      </c>
      <c r="D206">
        <v>8064</v>
      </c>
      <c r="E206" t="s">
        <v>90</v>
      </c>
      <c r="F206">
        <v>17640</v>
      </c>
      <c r="G206" t="s">
        <v>243</v>
      </c>
      <c r="H206" t="s">
        <v>63</v>
      </c>
      <c r="I206" t="s">
        <v>297</v>
      </c>
      <c r="J206" t="s">
        <v>296</v>
      </c>
      <c r="K206" t="s">
        <v>9</v>
      </c>
      <c r="L206" t="s">
        <v>10</v>
      </c>
      <c r="N206" s="1">
        <v>5.95</v>
      </c>
      <c r="O206" s="6">
        <v>8</v>
      </c>
      <c r="P206" s="7">
        <f t="shared" si="6"/>
        <v>47.6</v>
      </c>
      <c r="Q206">
        <v>2</v>
      </c>
      <c r="R206" s="4" t="s">
        <v>71</v>
      </c>
      <c r="S206" s="8">
        <v>0.06</v>
      </c>
      <c r="T206" s="7">
        <f t="shared" si="7"/>
        <v>44.744</v>
      </c>
    </row>
    <row r="207" spans="1:20" x14ac:dyDescent="0.3">
      <c r="A207">
        <v>206</v>
      </c>
      <c r="B207" s="4">
        <v>44798</v>
      </c>
      <c r="C207" s="5">
        <v>44798</v>
      </c>
      <c r="D207">
        <v>6357</v>
      </c>
      <c r="E207" t="s">
        <v>98</v>
      </c>
      <c r="F207">
        <v>22911</v>
      </c>
      <c r="G207" t="s">
        <v>179</v>
      </c>
      <c r="H207" t="s">
        <v>63</v>
      </c>
      <c r="I207" t="s">
        <v>297</v>
      </c>
      <c r="J207" t="s">
        <v>296</v>
      </c>
      <c r="K207" t="s">
        <v>9</v>
      </c>
      <c r="L207" t="s">
        <v>10</v>
      </c>
      <c r="N207" s="1">
        <v>5.95</v>
      </c>
      <c r="O207" s="6">
        <v>5</v>
      </c>
      <c r="P207" s="7">
        <f t="shared" si="6"/>
        <v>29.75</v>
      </c>
      <c r="Q207">
        <v>4</v>
      </c>
      <c r="R207" s="4" t="s">
        <v>66</v>
      </c>
      <c r="S207" s="8">
        <v>0.1</v>
      </c>
      <c r="T207" s="7">
        <f t="shared" si="7"/>
        <v>26.774999999999999</v>
      </c>
    </row>
    <row r="208" spans="1:20" x14ac:dyDescent="0.3">
      <c r="A208">
        <v>207</v>
      </c>
      <c r="B208" s="4">
        <v>44798</v>
      </c>
      <c r="C208" s="5">
        <v>44798</v>
      </c>
      <c r="D208">
        <v>6571</v>
      </c>
      <c r="E208" t="s">
        <v>96</v>
      </c>
      <c r="F208">
        <v>19737</v>
      </c>
      <c r="G208" t="s">
        <v>264</v>
      </c>
      <c r="H208" t="s">
        <v>62</v>
      </c>
      <c r="I208" t="s">
        <v>297</v>
      </c>
      <c r="J208" t="s">
        <v>296</v>
      </c>
      <c r="K208" t="s">
        <v>21</v>
      </c>
      <c r="L208" t="s">
        <v>22</v>
      </c>
      <c r="N208" s="1">
        <v>7.5</v>
      </c>
      <c r="O208" s="6">
        <v>9</v>
      </c>
      <c r="P208" s="7">
        <f t="shared" si="6"/>
        <v>67.5</v>
      </c>
      <c r="Q208">
        <v>0</v>
      </c>
      <c r="R208" s="4" t="s">
        <v>67</v>
      </c>
      <c r="S208" s="8">
        <v>0</v>
      </c>
      <c r="T208" s="7">
        <f t="shared" si="7"/>
        <v>67.5</v>
      </c>
    </row>
    <row r="209" spans="1:20" x14ac:dyDescent="0.3">
      <c r="A209">
        <v>208</v>
      </c>
      <c r="B209" s="4">
        <v>44799</v>
      </c>
      <c r="C209" s="5">
        <v>44799</v>
      </c>
      <c r="D209">
        <v>6571</v>
      </c>
      <c r="E209" t="s">
        <v>96</v>
      </c>
      <c r="F209">
        <v>24461</v>
      </c>
      <c r="G209" t="s">
        <v>207</v>
      </c>
      <c r="H209" t="s">
        <v>56</v>
      </c>
      <c r="I209" t="s">
        <v>297</v>
      </c>
      <c r="J209" t="s">
        <v>296</v>
      </c>
      <c r="K209" t="s">
        <v>14</v>
      </c>
      <c r="L209" t="s">
        <v>15</v>
      </c>
      <c r="N209" s="1">
        <v>9.5</v>
      </c>
      <c r="O209" s="6">
        <v>9</v>
      </c>
      <c r="P209" s="7">
        <f t="shared" si="6"/>
        <v>85.5</v>
      </c>
      <c r="Q209">
        <v>1</v>
      </c>
      <c r="R209" s="4" t="s">
        <v>70</v>
      </c>
      <c r="S209" s="8">
        <v>0.05</v>
      </c>
      <c r="T209" s="7">
        <f t="shared" si="7"/>
        <v>81.224999999999994</v>
      </c>
    </row>
    <row r="210" spans="1:20" x14ac:dyDescent="0.3">
      <c r="A210">
        <v>209</v>
      </c>
      <c r="B210" s="4">
        <v>44799</v>
      </c>
      <c r="C210" s="5">
        <v>44799</v>
      </c>
      <c r="D210">
        <v>5400</v>
      </c>
      <c r="E210" t="s">
        <v>99</v>
      </c>
      <c r="F210">
        <v>26512</v>
      </c>
      <c r="G210" t="s">
        <v>222</v>
      </c>
      <c r="H210" t="s">
        <v>54</v>
      </c>
      <c r="I210" t="s">
        <v>297</v>
      </c>
      <c r="J210" t="s">
        <v>296</v>
      </c>
      <c r="K210" t="s">
        <v>16</v>
      </c>
      <c r="L210" t="s">
        <v>17</v>
      </c>
      <c r="N210" s="1">
        <v>10</v>
      </c>
      <c r="O210" s="6">
        <v>1</v>
      </c>
      <c r="P210" s="7">
        <f t="shared" si="6"/>
        <v>10</v>
      </c>
      <c r="Q210">
        <v>0</v>
      </c>
      <c r="R210" s="4" t="s">
        <v>67</v>
      </c>
      <c r="S210" s="8">
        <v>0</v>
      </c>
      <c r="T210" s="7">
        <f t="shared" si="7"/>
        <v>10</v>
      </c>
    </row>
    <row r="211" spans="1:20" x14ac:dyDescent="0.3">
      <c r="A211">
        <v>210</v>
      </c>
      <c r="B211" s="4">
        <v>44799</v>
      </c>
      <c r="C211" s="5">
        <v>44799</v>
      </c>
      <c r="D211">
        <v>5382</v>
      </c>
      <c r="E211" t="s">
        <v>92</v>
      </c>
      <c r="F211">
        <v>24952</v>
      </c>
      <c r="G211" t="s">
        <v>139</v>
      </c>
      <c r="H211" t="s">
        <v>51</v>
      </c>
      <c r="I211" t="s">
        <v>298</v>
      </c>
      <c r="J211" t="s">
        <v>296</v>
      </c>
      <c r="K211" t="s">
        <v>19</v>
      </c>
      <c r="L211" t="s">
        <v>20</v>
      </c>
      <c r="N211" s="1">
        <v>7.5</v>
      </c>
      <c r="O211" s="6">
        <v>6</v>
      </c>
      <c r="P211" s="7">
        <f t="shared" si="6"/>
        <v>45</v>
      </c>
      <c r="Q211">
        <v>2</v>
      </c>
      <c r="R211" s="4" t="s">
        <v>71</v>
      </c>
      <c r="S211" s="8">
        <v>0.06</v>
      </c>
      <c r="T211" s="7">
        <f t="shared" si="7"/>
        <v>42.3</v>
      </c>
    </row>
    <row r="212" spans="1:20" x14ac:dyDescent="0.3">
      <c r="A212">
        <v>211</v>
      </c>
      <c r="B212" s="4">
        <v>44799</v>
      </c>
      <c r="C212" s="5">
        <v>44799</v>
      </c>
      <c r="D212">
        <v>6143</v>
      </c>
      <c r="E212" t="s">
        <v>104</v>
      </c>
      <c r="F212">
        <v>13739</v>
      </c>
      <c r="G212" t="s">
        <v>195</v>
      </c>
      <c r="H212" t="s">
        <v>58</v>
      </c>
      <c r="I212" t="s">
        <v>299</v>
      </c>
      <c r="J212" t="s">
        <v>296</v>
      </c>
      <c r="K212" t="s">
        <v>16</v>
      </c>
      <c r="L212" t="s">
        <v>17</v>
      </c>
      <c r="N212" s="1">
        <v>10</v>
      </c>
      <c r="O212" s="6">
        <v>3</v>
      </c>
      <c r="P212" s="7">
        <f t="shared" si="6"/>
        <v>30</v>
      </c>
      <c r="Q212">
        <v>4</v>
      </c>
      <c r="R212" s="4" t="s">
        <v>66</v>
      </c>
      <c r="S212" s="8">
        <v>0.1</v>
      </c>
      <c r="T212" s="7">
        <f t="shared" si="7"/>
        <v>27</v>
      </c>
    </row>
    <row r="213" spans="1:20" x14ac:dyDescent="0.3">
      <c r="A213">
        <v>212</v>
      </c>
      <c r="B213" s="4">
        <v>44800</v>
      </c>
      <c r="C213" s="5">
        <v>44800</v>
      </c>
      <c r="D213">
        <v>5346</v>
      </c>
      <c r="E213" t="s">
        <v>101</v>
      </c>
      <c r="F213">
        <v>20832</v>
      </c>
      <c r="G213" t="s">
        <v>247</v>
      </c>
      <c r="H213" t="s">
        <v>53</v>
      </c>
      <c r="I213" t="s">
        <v>297</v>
      </c>
      <c r="J213" t="s">
        <v>296</v>
      </c>
      <c r="K213" t="s">
        <v>32</v>
      </c>
      <c r="L213" t="s">
        <v>33</v>
      </c>
      <c r="N213" s="1">
        <v>12</v>
      </c>
      <c r="O213" s="6">
        <v>10</v>
      </c>
      <c r="P213" s="7">
        <f t="shared" si="6"/>
        <v>120</v>
      </c>
      <c r="Q213">
        <v>1</v>
      </c>
      <c r="R213" s="4" t="s">
        <v>70</v>
      </c>
      <c r="S213" s="8">
        <v>0.05</v>
      </c>
      <c r="T213" s="7">
        <f t="shared" si="7"/>
        <v>114</v>
      </c>
    </row>
    <row r="214" spans="1:20" x14ac:dyDescent="0.3">
      <c r="A214">
        <v>213</v>
      </c>
      <c r="B214" s="4">
        <v>44800</v>
      </c>
      <c r="C214" s="5">
        <v>44800</v>
      </c>
      <c r="D214">
        <v>6464</v>
      </c>
      <c r="E214" t="s">
        <v>103</v>
      </c>
      <c r="F214">
        <v>25355</v>
      </c>
      <c r="G214" t="s">
        <v>182</v>
      </c>
      <c r="H214" t="s">
        <v>55</v>
      </c>
      <c r="I214" t="s">
        <v>297</v>
      </c>
      <c r="J214" t="s">
        <v>296</v>
      </c>
      <c r="K214" t="s">
        <v>30</v>
      </c>
      <c r="L214" t="s">
        <v>31</v>
      </c>
      <c r="N214" s="1">
        <v>12</v>
      </c>
      <c r="O214" s="6">
        <v>6</v>
      </c>
      <c r="P214" s="7">
        <f t="shared" si="6"/>
        <v>72</v>
      </c>
      <c r="Q214">
        <v>5</v>
      </c>
      <c r="R214" s="4" t="s">
        <v>69</v>
      </c>
      <c r="S214" s="8">
        <v>0.15</v>
      </c>
      <c r="T214" s="7">
        <f t="shared" si="7"/>
        <v>61.2</v>
      </c>
    </row>
    <row r="215" spans="1:20" x14ac:dyDescent="0.3">
      <c r="A215">
        <v>214</v>
      </c>
      <c r="B215" s="4">
        <v>44801</v>
      </c>
      <c r="C215" s="5">
        <v>44801</v>
      </c>
      <c r="D215">
        <v>6678</v>
      </c>
      <c r="E215" t="s">
        <v>102</v>
      </c>
      <c r="F215">
        <v>22597</v>
      </c>
      <c r="G215" t="s">
        <v>265</v>
      </c>
      <c r="H215" t="s">
        <v>300</v>
      </c>
      <c r="I215" t="s">
        <v>298</v>
      </c>
      <c r="J215" t="s">
        <v>296</v>
      </c>
      <c r="K215" t="s">
        <v>25</v>
      </c>
      <c r="L215" t="s">
        <v>26</v>
      </c>
      <c r="N215" s="1">
        <v>8</v>
      </c>
      <c r="O215" s="6">
        <v>3</v>
      </c>
      <c r="P215" s="7">
        <f t="shared" si="6"/>
        <v>24</v>
      </c>
      <c r="Q215">
        <v>4</v>
      </c>
      <c r="R215" s="4" t="s">
        <v>66</v>
      </c>
      <c r="S215" s="8">
        <v>0.1</v>
      </c>
      <c r="T215" s="7">
        <f t="shared" si="7"/>
        <v>21.6</v>
      </c>
    </row>
    <row r="216" spans="1:20" x14ac:dyDescent="0.3">
      <c r="A216">
        <v>215</v>
      </c>
      <c r="B216" s="4">
        <v>44801</v>
      </c>
      <c r="C216" s="5">
        <v>44801</v>
      </c>
      <c r="D216">
        <v>6892</v>
      </c>
      <c r="E216" t="s">
        <v>93</v>
      </c>
      <c r="F216">
        <v>21702</v>
      </c>
      <c r="G216" t="s">
        <v>214</v>
      </c>
      <c r="H216" t="s">
        <v>51</v>
      </c>
      <c r="I216" t="s">
        <v>298</v>
      </c>
      <c r="J216" t="s">
        <v>296</v>
      </c>
      <c r="K216" t="s">
        <v>23</v>
      </c>
      <c r="L216" t="s">
        <v>24</v>
      </c>
      <c r="N216" s="1">
        <v>7.5</v>
      </c>
      <c r="O216" s="6">
        <v>3</v>
      </c>
      <c r="P216" s="7">
        <f t="shared" si="6"/>
        <v>22.5</v>
      </c>
      <c r="Q216">
        <v>1</v>
      </c>
      <c r="R216" s="4" t="s">
        <v>70</v>
      </c>
      <c r="S216" s="8">
        <v>0.05</v>
      </c>
      <c r="T216" s="7">
        <f t="shared" si="7"/>
        <v>21.375</v>
      </c>
    </row>
    <row r="217" spans="1:20" x14ac:dyDescent="0.3">
      <c r="A217">
        <v>216</v>
      </c>
      <c r="B217" s="4">
        <v>44801</v>
      </c>
      <c r="C217" s="5">
        <v>44801</v>
      </c>
      <c r="D217">
        <v>6678</v>
      </c>
      <c r="E217" t="s">
        <v>102</v>
      </c>
      <c r="F217">
        <v>21914</v>
      </c>
      <c r="G217" t="s">
        <v>266</v>
      </c>
      <c r="H217" t="s">
        <v>56</v>
      </c>
      <c r="I217" t="s">
        <v>297</v>
      </c>
      <c r="J217" t="s">
        <v>296</v>
      </c>
      <c r="K217" t="s">
        <v>5</v>
      </c>
      <c r="L217" t="s">
        <v>6</v>
      </c>
      <c r="N217" s="1">
        <v>5.95</v>
      </c>
      <c r="O217" s="6">
        <v>2</v>
      </c>
      <c r="P217" s="7">
        <f t="shared" si="6"/>
        <v>11.9</v>
      </c>
      <c r="Q217">
        <v>0</v>
      </c>
      <c r="R217" s="4" t="s">
        <v>67</v>
      </c>
      <c r="S217" s="8">
        <v>0</v>
      </c>
      <c r="T217" s="7">
        <f t="shared" si="7"/>
        <v>11.9</v>
      </c>
    </row>
    <row r="218" spans="1:20" x14ac:dyDescent="0.3">
      <c r="A218">
        <v>217</v>
      </c>
      <c r="B218" s="4">
        <v>44802</v>
      </c>
      <c r="C218" s="5">
        <v>44802</v>
      </c>
      <c r="D218">
        <v>6892</v>
      </c>
      <c r="E218" t="s">
        <v>93</v>
      </c>
      <c r="F218">
        <v>17441</v>
      </c>
      <c r="G218" t="s">
        <v>152</v>
      </c>
      <c r="H218" t="s">
        <v>56</v>
      </c>
      <c r="I218" t="s">
        <v>297</v>
      </c>
      <c r="J218" t="s">
        <v>296</v>
      </c>
      <c r="K218" t="s">
        <v>23</v>
      </c>
      <c r="L218" t="s">
        <v>24</v>
      </c>
      <c r="N218" s="1">
        <v>7.5</v>
      </c>
      <c r="O218" s="6">
        <v>3</v>
      </c>
      <c r="P218" s="7">
        <f t="shared" si="6"/>
        <v>22.5</v>
      </c>
      <c r="Q218">
        <v>0</v>
      </c>
      <c r="R218" s="4" t="s">
        <v>67</v>
      </c>
      <c r="S218" s="8">
        <v>0</v>
      </c>
      <c r="T218" s="7">
        <f t="shared" si="7"/>
        <v>22.5</v>
      </c>
    </row>
    <row r="219" spans="1:20" x14ac:dyDescent="0.3">
      <c r="A219">
        <v>218</v>
      </c>
      <c r="B219" s="4">
        <v>44802</v>
      </c>
      <c r="C219" s="5">
        <v>44802</v>
      </c>
      <c r="D219">
        <v>5382</v>
      </c>
      <c r="E219" t="s">
        <v>92</v>
      </c>
      <c r="F219">
        <v>17376</v>
      </c>
      <c r="G219" t="s">
        <v>236</v>
      </c>
      <c r="H219" t="s">
        <v>54</v>
      </c>
      <c r="I219" t="s">
        <v>297</v>
      </c>
      <c r="J219" t="s">
        <v>296</v>
      </c>
      <c r="K219" t="s">
        <v>14</v>
      </c>
      <c r="L219" t="s">
        <v>15</v>
      </c>
      <c r="N219" s="1">
        <v>9.5</v>
      </c>
      <c r="O219" s="6">
        <v>10</v>
      </c>
      <c r="P219" s="7">
        <f t="shared" si="6"/>
        <v>95</v>
      </c>
      <c r="Q219">
        <v>1</v>
      </c>
      <c r="R219" s="4" t="s">
        <v>70</v>
      </c>
      <c r="S219" s="8">
        <v>0.05</v>
      </c>
      <c r="T219" s="7">
        <f t="shared" si="7"/>
        <v>90.25</v>
      </c>
    </row>
    <row r="220" spans="1:20" x14ac:dyDescent="0.3">
      <c r="A220">
        <v>219</v>
      </c>
      <c r="B220" s="4">
        <v>44802</v>
      </c>
      <c r="C220" s="5">
        <v>44802</v>
      </c>
      <c r="D220">
        <v>5346</v>
      </c>
      <c r="E220" t="s">
        <v>101</v>
      </c>
      <c r="F220">
        <v>21104</v>
      </c>
      <c r="G220" t="s">
        <v>191</v>
      </c>
      <c r="H220" t="s">
        <v>56</v>
      </c>
      <c r="I220" t="s">
        <v>297</v>
      </c>
      <c r="J220" t="s">
        <v>296</v>
      </c>
      <c r="K220" t="s">
        <v>12</v>
      </c>
      <c r="L220" t="s">
        <v>13</v>
      </c>
      <c r="N220" s="1">
        <v>9</v>
      </c>
      <c r="O220" s="6">
        <v>1</v>
      </c>
      <c r="P220" s="7">
        <f t="shared" si="6"/>
        <v>9</v>
      </c>
      <c r="Q220">
        <v>1</v>
      </c>
      <c r="R220" s="4" t="s">
        <v>70</v>
      </c>
      <c r="S220" s="8">
        <v>0.05</v>
      </c>
      <c r="T220" s="7">
        <f t="shared" si="7"/>
        <v>8.5500000000000007</v>
      </c>
    </row>
    <row r="221" spans="1:20" x14ac:dyDescent="0.3">
      <c r="A221">
        <v>220</v>
      </c>
      <c r="B221" s="4">
        <v>44802</v>
      </c>
      <c r="C221" s="5">
        <v>44802</v>
      </c>
      <c r="D221">
        <v>6678</v>
      </c>
      <c r="E221" t="s">
        <v>102</v>
      </c>
      <c r="F221">
        <v>13321</v>
      </c>
      <c r="G221" t="s">
        <v>215</v>
      </c>
      <c r="H221" t="s">
        <v>61</v>
      </c>
      <c r="I221" t="s">
        <v>297</v>
      </c>
      <c r="J221" t="s">
        <v>296</v>
      </c>
      <c r="K221" t="s">
        <v>25</v>
      </c>
      <c r="L221" t="s">
        <v>26</v>
      </c>
      <c r="N221" s="1">
        <v>8</v>
      </c>
      <c r="O221" s="6">
        <v>10</v>
      </c>
      <c r="P221" s="7">
        <f t="shared" si="6"/>
        <v>80</v>
      </c>
      <c r="Q221">
        <v>4</v>
      </c>
      <c r="R221" s="4" t="s">
        <v>66</v>
      </c>
      <c r="S221" s="8">
        <v>0.1</v>
      </c>
      <c r="T221" s="7">
        <f t="shared" si="7"/>
        <v>72</v>
      </c>
    </row>
    <row r="222" spans="1:20" x14ac:dyDescent="0.3">
      <c r="A222">
        <v>221</v>
      </c>
      <c r="B222" s="4">
        <v>44803</v>
      </c>
      <c r="C222" s="5">
        <v>44803</v>
      </c>
      <c r="D222">
        <v>5400</v>
      </c>
      <c r="E222" t="s">
        <v>99</v>
      </c>
      <c r="F222">
        <v>26564</v>
      </c>
      <c r="G222" t="s">
        <v>156</v>
      </c>
      <c r="H222" t="s">
        <v>58</v>
      </c>
      <c r="I222" t="s">
        <v>299</v>
      </c>
      <c r="J222" t="s">
        <v>296</v>
      </c>
      <c r="K222" t="s">
        <v>21</v>
      </c>
      <c r="L222" t="s">
        <v>22</v>
      </c>
      <c r="N222" s="1">
        <v>7.5</v>
      </c>
      <c r="O222" s="6">
        <v>10</v>
      </c>
      <c r="P222" s="7">
        <f t="shared" si="6"/>
        <v>75</v>
      </c>
      <c r="Q222">
        <v>0</v>
      </c>
      <c r="R222" s="4" t="s">
        <v>67</v>
      </c>
      <c r="S222" s="8">
        <v>0</v>
      </c>
      <c r="T222" s="7">
        <f t="shared" si="7"/>
        <v>75</v>
      </c>
    </row>
    <row r="223" spans="1:20" x14ac:dyDescent="0.3">
      <c r="A223">
        <v>222</v>
      </c>
      <c r="B223" s="4">
        <v>44803</v>
      </c>
      <c r="C223" s="5">
        <v>44803</v>
      </c>
      <c r="D223">
        <v>5400</v>
      </c>
      <c r="E223" t="s">
        <v>99</v>
      </c>
      <c r="F223">
        <v>25940</v>
      </c>
      <c r="G223" t="s">
        <v>263</v>
      </c>
      <c r="H223" t="s">
        <v>50</v>
      </c>
      <c r="I223" t="s">
        <v>297</v>
      </c>
      <c r="J223" t="s">
        <v>296</v>
      </c>
      <c r="K223" t="s">
        <v>28</v>
      </c>
      <c r="L223" t="s">
        <v>29</v>
      </c>
      <c r="N223" s="1">
        <v>12</v>
      </c>
      <c r="O223" s="6">
        <v>1</v>
      </c>
      <c r="P223" s="7">
        <f t="shared" si="6"/>
        <v>12</v>
      </c>
      <c r="Q223">
        <v>0</v>
      </c>
      <c r="R223" s="4" t="s">
        <v>67</v>
      </c>
      <c r="S223" s="8">
        <v>0</v>
      </c>
      <c r="T223" s="7">
        <f t="shared" si="7"/>
        <v>12</v>
      </c>
    </row>
    <row r="224" spans="1:20" x14ac:dyDescent="0.3">
      <c r="A224">
        <v>223</v>
      </c>
      <c r="B224" s="4">
        <v>44803</v>
      </c>
      <c r="C224" s="5">
        <v>44803</v>
      </c>
      <c r="D224">
        <v>6464</v>
      </c>
      <c r="E224" t="s">
        <v>103</v>
      </c>
      <c r="F224">
        <v>11959</v>
      </c>
      <c r="G224" t="s">
        <v>241</v>
      </c>
      <c r="H224" t="s">
        <v>55</v>
      </c>
      <c r="I224" t="s">
        <v>297</v>
      </c>
      <c r="J224" t="s">
        <v>296</v>
      </c>
      <c r="K224" t="s">
        <v>12</v>
      </c>
      <c r="L224" t="s">
        <v>13</v>
      </c>
      <c r="N224" s="1">
        <v>9</v>
      </c>
      <c r="O224" s="6">
        <v>1</v>
      </c>
      <c r="P224" s="7">
        <f t="shared" si="6"/>
        <v>9</v>
      </c>
      <c r="Q224">
        <v>4</v>
      </c>
      <c r="R224" s="4" t="s">
        <v>66</v>
      </c>
      <c r="S224" s="8">
        <v>0.1</v>
      </c>
      <c r="T224" s="7">
        <f t="shared" si="7"/>
        <v>8.1</v>
      </c>
    </row>
    <row r="225" spans="1:20" x14ac:dyDescent="0.3">
      <c r="A225">
        <v>224</v>
      </c>
      <c r="B225" s="4">
        <v>44804</v>
      </c>
      <c r="C225" s="5">
        <v>44804</v>
      </c>
      <c r="D225">
        <v>6892</v>
      </c>
      <c r="E225" t="s">
        <v>93</v>
      </c>
      <c r="F225">
        <v>22544</v>
      </c>
      <c r="G225" t="s">
        <v>203</v>
      </c>
      <c r="H225" t="s">
        <v>61</v>
      </c>
      <c r="I225" t="s">
        <v>297</v>
      </c>
      <c r="J225" t="s">
        <v>296</v>
      </c>
      <c r="K225" t="s">
        <v>14</v>
      </c>
      <c r="L225" t="s">
        <v>15</v>
      </c>
      <c r="N225" s="1">
        <v>9.5</v>
      </c>
      <c r="O225" s="6">
        <v>6</v>
      </c>
      <c r="P225" s="7">
        <f t="shared" si="6"/>
        <v>57</v>
      </c>
      <c r="Q225">
        <v>2</v>
      </c>
      <c r="R225" s="4" t="s">
        <v>71</v>
      </c>
      <c r="S225" s="8">
        <v>0.06</v>
      </c>
      <c r="T225" s="7">
        <f t="shared" si="7"/>
        <v>53.58</v>
      </c>
    </row>
    <row r="226" spans="1:20" x14ac:dyDescent="0.3">
      <c r="A226">
        <v>225</v>
      </c>
      <c r="B226" s="4">
        <v>44804</v>
      </c>
      <c r="C226" s="5">
        <v>44804</v>
      </c>
      <c r="D226">
        <v>6678</v>
      </c>
      <c r="E226" t="s">
        <v>102</v>
      </c>
      <c r="F226">
        <v>21339</v>
      </c>
      <c r="G226" t="s">
        <v>148</v>
      </c>
      <c r="H226" t="s">
        <v>54</v>
      </c>
      <c r="I226" t="s">
        <v>297</v>
      </c>
      <c r="J226" t="s">
        <v>296</v>
      </c>
      <c r="K226" t="s">
        <v>5</v>
      </c>
      <c r="L226" t="s">
        <v>6</v>
      </c>
      <c r="N226" s="1">
        <v>5.95</v>
      </c>
      <c r="O226" s="6">
        <v>10</v>
      </c>
      <c r="P226" s="7">
        <f t="shared" si="6"/>
        <v>59.5</v>
      </c>
      <c r="Q226">
        <v>2</v>
      </c>
      <c r="R226" s="4" t="s">
        <v>71</v>
      </c>
      <c r="S226" s="8">
        <v>0.06</v>
      </c>
      <c r="T226" s="7">
        <f t="shared" si="7"/>
        <v>55.93</v>
      </c>
    </row>
    <row r="227" spans="1:20" x14ac:dyDescent="0.3">
      <c r="A227">
        <v>226</v>
      </c>
      <c r="B227" s="4">
        <v>44805</v>
      </c>
      <c r="C227" s="5">
        <v>44805</v>
      </c>
      <c r="D227">
        <v>6143</v>
      </c>
      <c r="E227" t="s">
        <v>104</v>
      </c>
      <c r="F227">
        <v>15625</v>
      </c>
      <c r="G227" t="s">
        <v>267</v>
      </c>
      <c r="H227" t="s">
        <v>53</v>
      </c>
      <c r="I227" t="s">
        <v>297</v>
      </c>
      <c r="J227" t="s">
        <v>296</v>
      </c>
      <c r="K227" t="s">
        <v>7</v>
      </c>
      <c r="L227" t="s">
        <v>8</v>
      </c>
      <c r="N227" s="1">
        <v>5.95</v>
      </c>
      <c r="O227" s="6">
        <v>7</v>
      </c>
      <c r="P227" s="7">
        <f t="shared" si="6"/>
        <v>41.65</v>
      </c>
      <c r="Q227">
        <v>1</v>
      </c>
      <c r="R227" s="4" t="s">
        <v>70</v>
      </c>
      <c r="S227" s="8">
        <v>0.05</v>
      </c>
      <c r="T227" s="7">
        <f t="shared" si="7"/>
        <v>39.567499999999995</v>
      </c>
    </row>
    <row r="228" spans="1:20" x14ac:dyDescent="0.3">
      <c r="A228">
        <v>227</v>
      </c>
      <c r="B228" s="4">
        <v>44805</v>
      </c>
      <c r="C228" s="5">
        <v>44805</v>
      </c>
      <c r="D228">
        <v>6143</v>
      </c>
      <c r="E228" t="s">
        <v>104</v>
      </c>
      <c r="F228">
        <v>19842</v>
      </c>
      <c r="G228" t="s">
        <v>262</v>
      </c>
      <c r="H228" t="s">
        <v>62</v>
      </c>
      <c r="I228" t="s">
        <v>297</v>
      </c>
      <c r="J228" t="s">
        <v>296</v>
      </c>
      <c r="K228" t="s">
        <v>14</v>
      </c>
      <c r="L228" t="s">
        <v>15</v>
      </c>
      <c r="N228" s="1">
        <v>9.5</v>
      </c>
      <c r="O228" s="6">
        <v>1</v>
      </c>
      <c r="P228" s="7">
        <f t="shared" si="6"/>
        <v>9.5</v>
      </c>
      <c r="Q228">
        <v>5</v>
      </c>
      <c r="R228" s="4" t="s">
        <v>69</v>
      </c>
      <c r="S228" s="8">
        <v>0.15</v>
      </c>
      <c r="T228" s="7">
        <f t="shared" si="7"/>
        <v>8.0749999999999993</v>
      </c>
    </row>
    <row r="229" spans="1:20" x14ac:dyDescent="0.3">
      <c r="A229">
        <v>228</v>
      </c>
      <c r="B229" s="4">
        <v>44805</v>
      </c>
      <c r="C229" s="5">
        <v>44805</v>
      </c>
      <c r="D229">
        <v>6250</v>
      </c>
      <c r="E229" t="s">
        <v>94</v>
      </c>
      <c r="F229">
        <v>21914</v>
      </c>
      <c r="G229" t="s">
        <v>266</v>
      </c>
      <c r="H229" t="s">
        <v>56</v>
      </c>
      <c r="I229" t="s">
        <v>297</v>
      </c>
      <c r="J229" t="s">
        <v>296</v>
      </c>
      <c r="K229" t="s">
        <v>32</v>
      </c>
      <c r="L229" t="s">
        <v>33</v>
      </c>
      <c r="N229" s="1">
        <v>12</v>
      </c>
      <c r="O229" s="6">
        <v>10</v>
      </c>
      <c r="P229" s="7">
        <f t="shared" si="6"/>
        <v>120</v>
      </c>
      <c r="Q229">
        <v>2</v>
      </c>
      <c r="R229" s="4" t="s">
        <v>71</v>
      </c>
      <c r="S229" s="8">
        <v>0.06</v>
      </c>
      <c r="T229" s="7">
        <f t="shared" si="7"/>
        <v>112.8</v>
      </c>
    </row>
    <row r="230" spans="1:20" x14ac:dyDescent="0.3">
      <c r="A230">
        <v>229</v>
      </c>
      <c r="B230" s="4">
        <v>44805</v>
      </c>
      <c r="C230" s="5">
        <v>44805</v>
      </c>
      <c r="D230">
        <v>6357</v>
      </c>
      <c r="E230" t="s">
        <v>98</v>
      </c>
      <c r="F230">
        <v>23133</v>
      </c>
      <c r="G230" t="s">
        <v>255</v>
      </c>
      <c r="H230" t="s">
        <v>54</v>
      </c>
      <c r="I230" t="s">
        <v>297</v>
      </c>
      <c r="J230" t="s">
        <v>296</v>
      </c>
      <c r="K230" t="s">
        <v>16</v>
      </c>
      <c r="L230" t="s">
        <v>17</v>
      </c>
      <c r="N230" s="1">
        <v>10</v>
      </c>
      <c r="O230" s="6">
        <v>7</v>
      </c>
      <c r="P230" s="7">
        <f t="shared" si="6"/>
        <v>70</v>
      </c>
      <c r="Q230">
        <v>4</v>
      </c>
      <c r="R230" s="4" t="s">
        <v>66</v>
      </c>
      <c r="S230" s="8">
        <v>0.1</v>
      </c>
      <c r="T230" s="7">
        <f t="shared" si="7"/>
        <v>63</v>
      </c>
    </row>
    <row r="231" spans="1:20" x14ac:dyDescent="0.3">
      <c r="A231">
        <v>230</v>
      </c>
      <c r="B231" s="4">
        <v>44806</v>
      </c>
      <c r="C231" s="5">
        <v>44806</v>
      </c>
      <c r="D231">
        <v>1384</v>
      </c>
      <c r="E231" t="s">
        <v>95</v>
      </c>
      <c r="F231">
        <v>22829</v>
      </c>
      <c r="G231" t="s">
        <v>235</v>
      </c>
      <c r="H231" t="s">
        <v>52</v>
      </c>
      <c r="I231" t="s">
        <v>297</v>
      </c>
      <c r="J231" t="s">
        <v>296</v>
      </c>
      <c r="K231" t="s">
        <v>16</v>
      </c>
      <c r="L231" t="s">
        <v>17</v>
      </c>
      <c r="N231" s="1">
        <v>10</v>
      </c>
      <c r="O231" s="6">
        <v>10</v>
      </c>
      <c r="P231" s="7">
        <f t="shared" si="6"/>
        <v>100</v>
      </c>
      <c r="Q231">
        <v>5</v>
      </c>
      <c r="R231" s="4" t="s">
        <v>69</v>
      </c>
      <c r="S231" s="8">
        <v>0.15</v>
      </c>
      <c r="T231" s="7">
        <f t="shared" si="7"/>
        <v>85</v>
      </c>
    </row>
    <row r="232" spans="1:20" x14ac:dyDescent="0.3">
      <c r="A232">
        <v>231</v>
      </c>
      <c r="B232" s="4">
        <v>44806</v>
      </c>
      <c r="C232" s="5">
        <v>44806</v>
      </c>
      <c r="D232">
        <v>6143</v>
      </c>
      <c r="E232" t="s">
        <v>104</v>
      </c>
      <c r="F232">
        <v>24302</v>
      </c>
      <c r="G232" t="s">
        <v>242</v>
      </c>
      <c r="H232" t="s">
        <v>57</v>
      </c>
      <c r="I232" t="s">
        <v>297</v>
      </c>
      <c r="J232" t="s">
        <v>296</v>
      </c>
      <c r="K232" t="s">
        <v>5</v>
      </c>
      <c r="L232" t="s">
        <v>6</v>
      </c>
      <c r="N232" s="1">
        <v>5.95</v>
      </c>
      <c r="O232" s="6">
        <v>7</v>
      </c>
      <c r="P232" s="7">
        <f t="shared" si="6"/>
        <v>41.65</v>
      </c>
      <c r="Q232">
        <v>2</v>
      </c>
      <c r="R232" s="4" t="s">
        <v>71</v>
      </c>
      <c r="S232" s="8">
        <v>0.06</v>
      </c>
      <c r="T232" s="7">
        <f t="shared" si="7"/>
        <v>39.150999999999996</v>
      </c>
    </row>
    <row r="233" spans="1:20" x14ac:dyDescent="0.3">
      <c r="A233">
        <v>232</v>
      </c>
      <c r="B233" s="4">
        <v>44806</v>
      </c>
      <c r="C233" s="5">
        <v>44806</v>
      </c>
      <c r="D233">
        <v>6571</v>
      </c>
      <c r="E233" t="s">
        <v>96</v>
      </c>
      <c r="F233">
        <v>13122</v>
      </c>
      <c r="G233" t="s">
        <v>248</v>
      </c>
      <c r="H233" t="s">
        <v>59</v>
      </c>
      <c r="I233" t="s">
        <v>297</v>
      </c>
      <c r="J233" t="s">
        <v>296</v>
      </c>
      <c r="K233" t="s">
        <v>28</v>
      </c>
      <c r="L233" t="s">
        <v>29</v>
      </c>
      <c r="N233" s="1">
        <v>12</v>
      </c>
      <c r="O233" s="6">
        <v>9</v>
      </c>
      <c r="P233" s="7">
        <f t="shared" si="6"/>
        <v>108</v>
      </c>
      <c r="Q233">
        <v>4</v>
      </c>
      <c r="R233" s="4" t="s">
        <v>66</v>
      </c>
      <c r="S233" s="8">
        <v>0.1</v>
      </c>
      <c r="T233" s="7">
        <f t="shared" si="7"/>
        <v>97.2</v>
      </c>
    </row>
    <row r="234" spans="1:20" x14ac:dyDescent="0.3">
      <c r="A234">
        <v>233</v>
      </c>
      <c r="B234" s="4">
        <v>44806</v>
      </c>
      <c r="C234" s="5">
        <v>44806</v>
      </c>
      <c r="D234">
        <v>1384</v>
      </c>
      <c r="E234" t="s">
        <v>95</v>
      </c>
      <c r="F234">
        <v>27850</v>
      </c>
      <c r="G234" t="s">
        <v>237</v>
      </c>
      <c r="H234" t="s">
        <v>52</v>
      </c>
      <c r="I234" t="s">
        <v>297</v>
      </c>
      <c r="J234" t="s">
        <v>296</v>
      </c>
      <c r="K234" t="s">
        <v>7</v>
      </c>
      <c r="L234" t="s">
        <v>8</v>
      </c>
      <c r="N234" s="1">
        <v>5.95</v>
      </c>
      <c r="O234" s="6">
        <v>2</v>
      </c>
      <c r="P234" s="7">
        <f t="shared" si="6"/>
        <v>11.9</v>
      </c>
      <c r="Q234">
        <v>0</v>
      </c>
      <c r="R234" s="4" t="s">
        <v>67</v>
      </c>
      <c r="S234" s="8">
        <v>0</v>
      </c>
      <c r="T234" s="7">
        <f t="shared" si="7"/>
        <v>11.9</v>
      </c>
    </row>
    <row r="235" spans="1:20" x14ac:dyDescent="0.3">
      <c r="A235">
        <v>234</v>
      </c>
      <c r="B235" s="4">
        <v>44806</v>
      </c>
      <c r="C235" s="5">
        <v>44806</v>
      </c>
      <c r="D235">
        <v>5382</v>
      </c>
      <c r="E235" t="s">
        <v>92</v>
      </c>
      <c r="F235">
        <v>14501</v>
      </c>
      <c r="G235" t="s">
        <v>268</v>
      </c>
      <c r="H235" t="s">
        <v>59</v>
      </c>
      <c r="I235" t="s">
        <v>297</v>
      </c>
      <c r="J235" t="s">
        <v>296</v>
      </c>
      <c r="K235" t="s">
        <v>7</v>
      </c>
      <c r="L235" t="s">
        <v>8</v>
      </c>
      <c r="N235" s="1">
        <v>5.95</v>
      </c>
      <c r="O235" s="6">
        <v>4</v>
      </c>
      <c r="P235" s="7">
        <f t="shared" si="6"/>
        <v>23.8</v>
      </c>
      <c r="Q235">
        <v>1</v>
      </c>
      <c r="R235" s="4" t="s">
        <v>70</v>
      </c>
      <c r="S235" s="8">
        <v>0.05</v>
      </c>
      <c r="T235" s="7">
        <f t="shared" si="7"/>
        <v>22.61</v>
      </c>
    </row>
    <row r="236" spans="1:20" x14ac:dyDescent="0.3">
      <c r="A236">
        <v>235</v>
      </c>
      <c r="B236" s="4">
        <v>44807</v>
      </c>
      <c r="C236" s="5">
        <v>44807</v>
      </c>
      <c r="D236">
        <v>6892</v>
      </c>
      <c r="E236" t="s">
        <v>93</v>
      </c>
      <c r="F236">
        <v>23448</v>
      </c>
      <c r="G236" t="s">
        <v>257</v>
      </c>
      <c r="H236" t="s">
        <v>51</v>
      </c>
      <c r="I236" t="s">
        <v>298</v>
      </c>
      <c r="J236" t="s">
        <v>296</v>
      </c>
      <c r="K236" t="s">
        <v>21</v>
      </c>
      <c r="L236" t="s">
        <v>22</v>
      </c>
      <c r="N236" s="1">
        <v>7.5</v>
      </c>
      <c r="O236" s="6">
        <v>2</v>
      </c>
      <c r="P236" s="7">
        <f t="shared" si="6"/>
        <v>15</v>
      </c>
      <c r="Q236">
        <v>3</v>
      </c>
      <c r="R236" s="4" t="s">
        <v>68</v>
      </c>
      <c r="S236" s="8">
        <v>0.08</v>
      </c>
      <c r="T236" s="7">
        <f t="shared" si="7"/>
        <v>13.8</v>
      </c>
    </row>
    <row r="237" spans="1:20" x14ac:dyDescent="0.3">
      <c r="A237">
        <v>236</v>
      </c>
      <c r="B237" s="4">
        <v>44807</v>
      </c>
      <c r="C237" s="5">
        <v>44807</v>
      </c>
      <c r="D237">
        <v>6464</v>
      </c>
      <c r="E237" t="s">
        <v>103</v>
      </c>
      <c r="F237">
        <v>15353</v>
      </c>
      <c r="G237" t="s">
        <v>138</v>
      </c>
      <c r="H237" t="s">
        <v>52</v>
      </c>
      <c r="I237" t="s">
        <v>297</v>
      </c>
      <c r="J237" t="s">
        <v>296</v>
      </c>
      <c r="K237" t="s">
        <v>12</v>
      </c>
      <c r="L237" t="s">
        <v>13</v>
      </c>
      <c r="N237" s="1">
        <v>9</v>
      </c>
      <c r="O237" s="6">
        <v>4</v>
      </c>
      <c r="P237" s="7">
        <f t="shared" si="6"/>
        <v>36</v>
      </c>
      <c r="Q237">
        <v>1</v>
      </c>
      <c r="R237" s="4" t="s">
        <v>70</v>
      </c>
      <c r="S237" s="8">
        <v>0.05</v>
      </c>
      <c r="T237" s="7">
        <f t="shared" si="7"/>
        <v>34.200000000000003</v>
      </c>
    </row>
    <row r="238" spans="1:20" x14ac:dyDescent="0.3">
      <c r="A238">
        <v>237</v>
      </c>
      <c r="B238" s="4">
        <v>44807</v>
      </c>
      <c r="C238" s="5">
        <v>44807</v>
      </c>
      <c r="D238">
        <v>6678</v>
      </c>
      <c r="E238" t="s">
        <v>102</v>
      </c>
      <c r="F238">
        <v>23687</v>
      </c>
      <c r="G238" t="s">
        <v>246</v>
      </c>
      <c r="H238" t="s">
        <v>60</v>
      </c>
      <c r="I238" t="s">
        <v>297</v>
      </c>
      <c r="J238" t="s">
        <v>296</v>
      </c>
      <c r="K238" t="s">
        <v>9</v>
      </c>
      <c r="L238" t="s">
        <v>10</v>
      </c>
      <c r="N238" s="1">
        <v>5.95</v>
      </c>
      <c r="O238" s="6">
        <v>9</v>
      </c>
      <c r="P238" s="7">
        <f t="shared" si="6"/>
        <v>53.550000000000004</v>
      </c>
      <c r="Q238">
        <v>4</v>
      </c>
      <c r="R238" s="4" t="s">
        <v>66</v>
      </c>
      <c r="S238" s="8">
        <v>0.1</v>
      </c>
      <c r="T238" s="7">
        <f t="shared" si="7"/>
        <v>48.195000000000007</v>
      </c>
    </row>
    <row r="239" spans="1:20" x14ac:dyDescent="0.3">
      <c r="A239">
        <v>238</v>
      </c>
      <c r="B239" s="4">
        <v>44809</v>
      </c>
      <c r="C239" s="5">
        <v>44809</v>
      </c>
      <c r="D239">
        <v>6571</v>
      </c>
      <c r="E239" t="s">
        <v>96</v>
      </c>
      <c r="F239">
        <v>17717</v>
      </c>
      <c r="G239" t="s">
        <v>137</v>
      </c>
      <c r="H239" t="s">
        <v>51</v>
      </c>
      <c r="I239" t="s">
        <v>298</v>
      </c>
      <c r="J239" t="s">
        <v>296</v>
      </c>
      <c r="K239" t="s">
        <v>9</v>
      </c>
      <c r="L239" t="s">
        <v>10</v>
      </c>
      <c r="N239" s="1">
        <v>5.95</v>
      </c>
      <c r="O239" s="6">
        <v>7</v>
      </c>
      <c r="P239" s="7">
        <f t="shared" si="6"/>
        <v>41.65</v>
      </c>
      <c r="Q239">
        <v>5</v>
      </c>
      <c r="R239" s="4" t="s">
        <v>69</v>
      </c>
      <c r="S239" s="8">
        <v>0.15</v>
      </c>
      <c r="T239" s="7">
        <f t="shared" si="7"/>
        <v>35.402499999999996</v>
      </c>
    </row>
    <row r="240" spans="1:20" x14ac:dyDescent="0.3">
      <c r="A240">
        <v>239</v>
      </c>
      <c r="B240" s="4">
        <v>44810</v>
      </c>
      <c r="C240" s="5">
        <v>44810</v>
      </c>
      <c r="D240">
        <v>5400</v>
      </c>
      <c r="E240" t="s">
        <v>99</v>
      </c>
      <c r="F240">
        <v>16088</v>
      </c>
      <c r="G240" t="s">
        <v>269</v>
      </c>
      <c r="H240" t="s">
        <v>56</v>
      </c>
      <c r="I240" t="s">
        <v>297</v>
      </c>
      <c r="J240" t="s">
        <v>296</v>
      </c>
      <c r="K240" t="s">
        <v>23</v>
      </c>
      <c r="L240" t="s">
        <v>24</v>
      </c>
      <c r="N240" s="1">
        <v>7.5</v>
      </c>
      <c r="O240" s="6">
        <v>9</v>
      </c>
      <c r="P240" s="7">
        <f t="shared" si="6"/>
        <v>67.5</v>
      </c>
      <c r="Q240">
        <v>1</v>
      </c>
      <c r="R240" s="4" t="s">
        <v>70</v>
      </c>
      <c r="S240" s="8">
        <v>0.05</v>
      </c>
      <c r="T240" s="7">
        <f t="shared" si="7"/>
        <v>64.125</v>
      </c>
    </row>
    <row r="241" spans="1:20" x14ac:dyDescent="0.3">
      <c r="A241">
        <v>240</v>
      </c>
      <c r="B241" s="4">
        <v>44810</v>
      </c>
      <c r="C241" s="5">
        <v>44810</v>
      </c>
      <c r="D241">
        <v>5346</v>
      </c>
      <c r="E241" t="s">
        <v>101</v>
      </c>
      <c r="F241">
        <v>12504</v>
      </c>
      <c r="G241" t="s">
        <v>261</v>
      </c>
      <c r="H241" t="s">
        <v>51</v>
      </c>
      <c r="I241" t="s">
        <v>298</v>
      </c>
      <c r="J241" t="s">
        <v>296</v>
      </c>
      <c r="K241" t="s">
        <v>12</v>
      </c>
      <c r="L241" t="s">
        <v>13</v>
      </c>
      <c r="N241" s="1">
        <v>9</v>
      </c>
      <c r="O241" s="6">
        <v>7</v>
      </c>
      <c r="P241" s="7">
        <f t="shared" si="6"/>
        <v>63</v>
      </c>
      <c r="Q241">
        <v>2</v>
      </c>
      <c r="R241" s="4" t="s">
        <v>71</v>
      </c>
      <c r="S241" s="8">
        <v>0.06</v>
      </c>
      <c r="T241" s="7">
        <f t="shared" si="7"/>
        <v>59.22</v>
      </c>
    </row>
    <row r="242" spans="1:20" x14ac:dyDescent="0.3">
      <c r="A242">
        <v>241</v>
      </c>
      <c r="B242" s="4">
        <v>44811</v>
      </c>
      <c r="C242" s="5">
        <v>44811</v>
      </c>
      <c r="D242">
        <v>8064</v>
      </c>
      <c r="E242" t="s">
        <v>90</v>
      </c>
      <c r="F242">
        <v>15868</v>
      </c>
      <c r="G242" t="s">
        <v>239</v>
      </c>
      <c r="H242" t="s">
        <v>47</v>
      </c>
      <c r="I242" t="s">
        <v>297</v>
      </c>
      <c r="J242" t="s">
        <v>296</v>
      </c>
      <c r="K242" t="s">
        <v>23</v>
      </c>
      <c r="L242" t="s">
        <v>24</v>
      </c>
      <c r="N242" s="1">
        <v>7.5</v>
      </c>
      <c r="O242" s="6">
        <v>9</v>
      </c>
      <c r="P242" s="7">
        <f t="shared" si="6"/>
        <v>67.5</v>
      </c>
      <c r="Q242">
        <v>3</v>
      </c>
      <c r="R242" s="4" t="s">
        <v>68</v>
      </c>
      <c r="S242" s="8">
        <v>0.08</v>
      </c>
      <c r="T242" s="7">
        <f t="shared" si="7"/>
        <v>62.1</v>
      </c>
    </row>
    <row r="243" spans="1:20" x14ac:dyDescent="0.3">
      <c r="A243">
        <v>242</v>
      </c>
      <c r="B243" s="4">
        <v>44812</v>
      </c>
      <c r="C243" s="5">
        <v>44812</v>
      </c>
      <c r="D243">
        <v>5400</v>
      </c>
      <c r="E243" t="s">
        <v>99</v>
      </c>
      <c r="F243">
        <v>19063</v>
      </c>
      <c r="G243" t="s">
        <v>270</v>
      </c>
      <c r="H243" t="s">
        <v>54</v>
      </c>
      <c r="I243" t="s">
        <v>297</v>
      </c>
      <c r="J243" t="s">
        <v>296</v>
      </c>
      <c r="K243" t="s">
        <v>14</v>
      </c>
      <c r="L243" t="s">
        <v>15</v>
      </c>
      <c r="N243" s="1">
        <v>9.5</v>
      </c>
      <c r="O243" s="6">
        <v>10</v>
      </c>
      <c r="P243" s="7">
        <f t="shared" si="6"/>
        <v>95</v>
      </c>
      <c r="Q243">
        <v>1</v>
      </c>
      <c r="R243" s="4" t="s">
        <v>70</v>
      </c>
      <c r="S243" s="8">
        <v>0.05</v>
      </c>
      <c r="T243" s="7">
        <f t="shared" si="7"/>
        <v>90.25</v>
      </c>
    </row>
    <row r="244" spans="1:20" x14ac:dyDescent="0.3">
      <c r="A244">
        <v>243</v>
      </c>
      <c r="B244" s="4">
        <v>44812</v>
      </c>
      <c r="C244" s="5">
        <v>44812</v>
      </c>
      <c r="D244">
        <v>6678</v>
      </c>
      <c r="E244" t="s">
        <v>102</v>
      </c>
      <c r="F244">
        <v>18265</v>
      </c>
      <c r="G244" t="s">
        <v>194</v>
      </c>
      <c r="H244" t="s">
        <v>56</v>
      </c>
      <c r="I244" t="s">
        <v>297</v>
      </c>
      <c r="J244" t="s">
        <v>296</v>
      </c>
      <c r="K244" t="s">
        <v>5</v>
      </c>
      <c r="L244" t="s">
        <v>6</v>
      </c>
      <c r="N244" s="1">
        <v>5.95</v>
      </c>
      <c r="O244" s="6">
        <v>4</v>
      </c>
      <c r="P244" s="7">
        <f t="shared" si="6"/>
        <v>23.8</v>
      </c>
      <c r="Q244">
        <v>4</v>
      </c>
      <c r="R244" s="4" t="s">
        <v>66</v>
      </c>
      <c r="S244" s="8">
        <v>0.1</v>
      </c>
      <c r="T244" s="7">
        <f t="shared" si="7"/>
        <v>21.42</v>
      </c>
    </row>
    <row r="245" spans="1:20" x14ac:dyDescent="0.3">
      <c r="A245">
        <v>244</v>
      </c>
      <c r="B245" s="4">
        <v>44812</v>
      </c>
      <c r="C245" s="5">
        <v>44812</v>
      </c>
      <c r="D245">
        <v>5454</v>
      </c>
      <c r="E245" t="s">
        <v>91</v>
      </c>
      <c r="F245">
        <v>10550</v>
      </c>
      <c r="G245" t="s">
        <v>219</v>
      </c>
      <c r="H245" t="s">
        <v>59</v>
      </c>
      <c r="I245" t="s">
        <v>297</v>
      </c>
      <c r="J245" t="s">
        <v>296</v>
      </c>
      <c r="K245" t="s">
        <v>23</v>
      </c>
      <c r="L245" t="s">
        <v>24</v>
      </c>
      <c r="N245" s="1">
        <v>7.5</v>
      </c>
      <c r="O245" s="6">
        <v>2</v>
      </c>
      <c r="P245" s="7">
        <f t="shared" si="6"/>
        <v>15</v>
      </c>
      <c r="Q245">
        <v>2</v>
      </c>
      <c r="R245" s="4" t="s">
        <v>71</v>
      </c>
      <c r="S245" s="8">
        <v>0.06</v>
      </c>
      <c r="T245" s="7">
        <f t="shared" si="7"/>
        <v>14.1</v>
      </c>
    </row>
    <row r="246" spans="1:20" x14ac:dyDescent="0.3">
      <c r="A246">
        <v>245</v>
      </c>
      <c r="B246" s="4">
        <v>44813</v>
      </c>
      <c r="C246" s="5">
        <v>44813</v>
      </c>
      <c r="D246">
        <v>8064</v>
      </c>
      <c r="E246" t="s">
        <v>90</v>
      </c>
      <c r="F246">
        <v>17972</v>
      </c>
      <c r="G246" t="s">
        <v>212</v>
      </c>
      <c r="H246" t="s">
        <v>51</v>
      </c>
      <c r="I246" t="s">
        <v>298</v>
      </c>
      <c r="J246" t="s">
        <v>296</v>
      </c>
      <c r="K246" t="s">
        <v>7</v>
      </c>
      <c r="L246" t="s">
        <v>8</v>
      </c>
      <c r="N246" s="1">
        <v>5.95</v>
      </c>
      <c r="O246" s="6">
        <v>10</v>
      </c>
      <c r="P246" s="7">
        <f t="shared" si="6"/>
        <v>59.5</v>
      </c>
      <c r="Q246">
        <v>4</v>
      </c>
      <c r="R246" s="4" t="s">
        <v>66</v>
      </c>
      <c r="S246" s="8">
        <v>0.1</v>
      </c>
      <c r="T246" s="7">
        <f t="shared" si="7"/>
        <v>53.55</v>
      </c>
    </row>
    <row r="247" spans="1:20" x14ac:dyDescent="0.3">
      <c r="A247">
        <v>246</v>
      </c>
      <c r="B247" s="4">
        <v>44813</v>
      </c>
      <c r="C247" s="5">
        <v>44813</v>
      </c>
      <c r="D247">
        <v>4350</v>
      </c>
      <c r="E247" t="s">
        <v>100</v>
      </c>
      <c r="F247">
        <v>19737</v>
      </c>
      <c r="G247" t="s">
        <v>264</v>
      </c>
      <c r="H247" t="s">
        <v>62</v>
      </c>
      <c r="I247" t="s">
        <v>297</v>
      </c>
      <c r="J247" t="s">
        <v>296</v>
      </c>
      <c r="K247" t="s">
        <v>19</v>
      </c>
      <c r="L247" t="s">
        <v>20</v>
      </c>
      <c r="N247" s="1">
        <v>7.5</v>
      </c>
      <c r="O247" s="6">
        <v>6</v>
      </c>
      <c r="P247" s="7">
        <f t="shared" si="6"/>
        <v>45</v>
      </c>
      <c r="Q247">
        <v>0</v>
      </c>
      <c r="R247" s="4" t="s">
        <v>67</v>
      </c>
      <c r="S247" s="8">
        <v>0</v>
      </c>
      <c r="T247" s="7">
        <f t="shared" si="7"/>
        <v>45</v>
      </c>
    </row>
    <row r="248" spans="1:20" x14ac:dyDescent="0.3">
      <c r="A248">
        <v>247</v>
      </c>
      <c r="B248" s="4">
        <v>44813</v>
      </c>
      <c r="C248" s="5">
        <v>44813</v>
      </c>
      <c r="D248">
        <v>8064</v>
      </c>
      <c r="E248" t="s">
        <v>90</v>
      </c>
      <c r="F248">
        <v>10553</v>
      </c>
      <c r="G248" t="s">
        <v>271</v>
      </c>
      <c r="H248" t="s">
        <v>49</v>
      </c>
      <c r="I248" t="s">
        <v>297</v>
      </c>
      <c r="J248" t="s">
        <v>296</v>
      </c>
      <c r="K248" t="s">
        <v>28</v>
      </c>
      <c r="L248" t="s">
        <v>29</v>
      </c>
      <c r="N248" s="1">
        <v>12</v>
      </c>
      <c r="O248" s="6">
        <v>10</v>
      </c>
      <c r="P248" s="7">
        <f t="shared" si="6"/>
        <v>120</v>
      </c>
      <c r="Q248">
        <v>0</v>
      </c>
      <c r="R248" s="4" t="s">
        <v>67</v>
      </c>
      <c r="S248" s="8">
        <v>0</v>
      </c>
      <c r="T248" s="7">
        <f t="shared" si="7"/>
        <v>120</v>
      </c>
    </row>
    <row r="249" spans="1:20" x14ac:dyDescent="0.3">
      <c r="A249">
        <v>248</v>
      </c>
      <c r="B249" s="4">
        <v>44813</v>
      </c>
      <c r="C249" s="5">
        <v>44813</v>
      </c>
      <c r="D249">
        <v>6464</v>
      </c>
      <c r="E249" t="s">
        <v>103</v>
      </c>
      <c r="F249">
        <v>22597</v>
      </c>
      <c r="G249" t="s">
        <v>265</v>
      </c>
      <c r="H249" t="s">
        <v>300</v>
      </c>
      <c r="I249" t="s">
        <v>298</v>
      </c>
      <c r="J249" t="s">
        <v>296</v>
      </c>
      <c r="K249" t="s">
        <v>28</v>
      </c>
      <c r="L249" t="s">
        <v>29</v>
      </c>
      <c r="N249" s="1">
        <v>12</v>
      </c>
      <c r="O249" s="6">
        <v>1</v>
      </c>
      <c r="P249" s="7">
        <f t="shared" si="6"/>
        <v>12</v>
      </c>
      <c r="Q249">
        <v>4</v>
      </c>
      <c r="R249" s="4" t="s">
        <v>66</v>
      </c>
      <c r="S249" s="8">
        <v>0.1</v>
      </c>
      <c r="T249" s="7">
        <f t="shared" si="7"/>
        <v>10.8</v>
      </c>
    </row>
    <row r="250" spans="1:20" x14ac:dyDescent="0.3">
      <c r="A250">
        <v>249</v>
      </c>
      <c r="B250" s="4">
        <v>44814</v>
      </c>
      <c r="C250" s="5">
        <v>44814</v>
      </c>
      <c r="D250">
        <v>4350</v>
      </c>
      <c r="E250" t="s">
        <v>100</v>
      </c>
      <c r="F250">
        <v>26350</v>
      </c>
      <c r="G250" t="s">
        <v>238</v>
      </c>
      <c r="H250" t="s">
        <v>50</v>
      </c>
      <c r="I250" t="s">
        <v>297</v>
      </c>
      <c r="J250" t="s">
        <v>296</v>
      </c>
      <c r="K250" t="s">
        <v>16</v>
      </c>
      <c r="L250" t="s">
        <v>17</v>
      </c>
      <c r="N250" s="1">
        <v>10</v>
      </c>
      <c r="O250" s="6">
        <v>7</v>
      </c>
      <c r="P250" s="7">
        <f t="shared" si="6"/>
        <v>70</v>
      </c>
      <c r="Q250">
        <v>0</v>
      </c>
      <c r="R250" s="4" t="s">
        <v>67</v>
      </c>
      <c r="S250" s="8">
        <v>0</v>
      </c>
      <c r="T250" s="7">
        <f t="shared" si="7"/>
        <v>70</v>
      </c>
    </row>
    <row r="251" spans="1:20" x14ac:dyDescent="0.3">
      <c r="A251">
        <v>250</v>
      </c>
      <c r="B251" s="4">
        <v>44815</v>
      </c>
      <c r="C251" s="5">
        <v>44815</v>
      </c>
      <c r="D251">
        <v>6571</v>
      </c>
      <c r="E251" t="s">
        <v>96</v>
      </c>
      <c r="F251">
        <v>12882</v>
      </c>
      <c r="G251" t="s">
        <v>167</v>
      </c>
      <c r="H251" t="s">
        <v>47</v>
      </c>
      <c r="I251" t="s">
        <v>297</v>
      </c>
      <c r="J251" t="s">
        <v>296</v>
      </c>
      <c r="K251" t="s">
        <v>28</v>
      </c>
      <c r="L251" t="s">
        <v>29</v>
      </c>
      <c r="N251" s="1">
        <v>12</v>
      </c>
      <c r="O251" s="6">
        <v>10</v>
      </c>
      <c r="P251" s="7">
        <f t="shared" si="6"/>
        <v>120</v>
      </c>
      <c r="Q251">
        <v>5</v>
      </c>
      <c r="R251" s="4" t="s">
        <v>69</v>
      </c>
      <c r="S251" s="8">
        <v>0.15</v>
      </c>
      <c r="T251" s="7">
        <f t="shared" si="7"/>
        <v>102</v>
      </c>
    </row>
    <row r="252" spans="1:20" x14ac:dyDescent="0.3">
      <c r="A252">
        <v>251</v>
      </c>
      <c r="B252" s="4">
        <v>44815</v>
      </c>
      <c r="C252" s="5">
        <v>44815</v>
      </c>
      <c r="D252">
        <v>6892</v>
      </c>
      <c r="E252" t="s">
        <v>93</v>
      </c>
      <c r="F252">
        <v>23361</v>
      </c>
      <c r="G252" t="s">
        <v>260</v>
      </c>
      <c r="H252" t="s">
        <v>54</v>
      </c>
      <c r="I252" t="s">
        <v>297</v>
      </c>
      <c r="J252" t="s">
        <v>296</v>
      </c>
      <c r="K252" t="s">
        <v>32</v>
      </c>
      <c r="L252" t="s">
        <v>33</v>
      </c>
      <c r="N252" s="1">
        <v>12</v>
      </c>
      <c r="O252" s="6">
        <v>5</v>
      </c>
      <c r="P252" s="7">
        <f t="shared" si="6"/>
        <v>60</v>
      </c>
      <c r="Q252">
        <v>1</v>
      </c>
      <c r="R252" s="4" t="s">
        <v>70</v>
      </c>
      <c r="S252" s="8">
        <v>0.05</v>
      </c>
      <c r="T252" s="7">
        <f t="shared" si="7"/>
        <v>57</v>
      </c>
    </row>
    <row r="253" spans="1:20" x14ac:dyDescent="0.3">
      <c r="A253">
        <v>252</v>
      </c>
      <c r="B253" s="4">
        <v>44815</v>
      </c>
      <c r="C253" s="5">
        <v>44815</v>
      </c>
      <c r="D253">
        <v>8064</v>
      </c>
      <c r="E253" t="s">
        <v>90</v>
      </c>
      <c r="F253">
        <v>19063</v>
      </c>
      <c r="G253" t="s">
        <v>270</v>
      </c>
      <c r="H253" t="s">
        <v>54</v>
      </c>
      <c r="I253" t="s">
        <v>297</v>
      </c>
      <c r="J253" t="s">
        <v>296</v>
      </c>
      <c r="K253" t="s">
        <v>16</v>
      </c>
      <c r="L253" t="s">
        <v>17</v>
      </c>
      <c r="N253" s="1">
        <v>10</v>
      </c>
      <c r="O253" s="6">
        <v>1</v>
      </c>
      <c r="P253" s="7">
        <f t="shared" si="6"/>
        <v>10</v>
      </c>
      <c r="Q253">
        <v>2</v>
      </c>
      <c r="R253" s="4" t="s">
        <v>71</v>
      </c>
      <c r="S253" s="8">
        <v>0.06</v>
      </c>
      <c r="T253" s="7">
        <f t="shared" si="7"/>
        <v>9.4</v>
      </c>
    </row>
    <row r="254" spans="1:20" x14ac:dyDescent="0.3">
      <c r="A254">
        <v>253</v>
      </c>
      <c r="B254" s="4">
        <v>44816</v>
      </c>
      <c r="C254" s="5">
        <v>44816</v>
      </c>
      <c r="D254">
        <v>1384</v>
      </c>
      <c r="E254" t="s">
        <v>95</v>
      </c>
      <c r="F254">
        <v>21321</v>
      </c>
      <c r="G254" t="s">
        <v>225</v>
      </c>
      <c r="H254" t="s">
        <v>60</v>
      </c>
      <c r="I254" t="s">
        <v>297</v>
      </c>
      <c r="J254" t="s">
        <v>296</v>
      </c>
      <c r="K254" t="s">
        <v>14</v>
      </c>
      <c r="L254" t="s">
        <v>15</v>
      </c>
      <c r="N254" s="1">
        <v>9.5</v>
      </c>
      <c r="O254" s="6">
        <v>4</v>
      </c>
      <c r="P254" s="7">
        <f t="shared" si="6"/>
        <v>38</v>
      </c>
      <c r="Q254">
        <v>5</v>
      </c>
      <c r="R254" s="4" t="s">
        <v>69</v>
      </c>
      <c r="S254" s="8">
        <v>0.15</v>
      </c>
      <c r="T254" s="7">
        <f t="shared" si="7"/>
        <v>32.299999999999997</v>
      </c>
    </row>
    <row r="255" spans="1:20" x14ac:dyDescent="0.3">
      <c r="A255">
        <v>254</v>
      </c>
      <c r="B255" s="4">
        <v>44816</v>
      </c>
      <c r="C255" s="5">
        <v>44816</v>
      </c>
      <c r="D255">
        <v>6143</v>
      </c>
      <c r="E255" t="s">
        <v>104</v>
      </c>
      <c r="F255">
        <v>12856</v>
      </c>
      <c r="G255" t="s">
        <v>253</v>
      </c>
      <c r="H255" t="s">
        <v>61</v>
      </c>
      <c r="I255" t="s">
        <v>297</v>
      </c>
      <c r="J255" t="s">
        <v>296</v>
      </c>
      <c r="K255" t="s">
        <v>5</v>
      </c>
      <c r="L255" t="s">
        <v>6</v>
      </c>
      <c r="N255" s="1">
        <v>5.95</v>
      </c>
      <c r="O255" s="6">
        <v>1</v>
      </c>
      <c r="P255" s="7">
        <f t="shared" si="6"/>
        <v>5.95</v>
      </c>
      <c r="Q255">
        <v>0</v>
      </c>
      <c r="R255" s="4" t="s">
        <v>67</v>
      </c>
      <c r="S255" s="8">
        <v>0</v>
      </c>
      <c r="T255" s="7">
        <f t="shared" si="7"/>
        <v>5.95</v>
      </c>
    </row>
    <row r="256" spans="1:20" x14ac:dyDescent="0.3">
      <c r="A256">
        <v>255</v>
      </c>
      <c r="B256" s="4">
        <v>44816</v>
      </c>
      <c r="C256" s="5">
        <v>44816</v>
      </c>
      <c r="D256">
        <v>6678</v>
      </c>
      <c r="E256" t="s">
        <v>102</v>
      </c>
      <c r="F256">
        <v>21852</v>
      </c>
      <c r="G256" t="s">
        <v>161</v>
      </c>
      <c r="H256" t="s">
        <v>54</v>
      </c>
      <c r="I256" t="s">
        <v>297</v>
      </c>
      <c r="J256" t="s">
        <v>296</v>
      </c>
      <c r="K256" t="s">
        <v>9</v>
      </c>
      <c r="L256" t="s">
        <v>10</v>
      </c>
      <c r="N256" s="1">
        <v>5.95</v>
      </c>
      <c r="O256" s="6">
        <v>2</v>
      </c>
      <c r="P256" s="7">
        <f t="shared" si="6"/>
        <v>11.9</v>
      </c>
      <c r="Q256">
        <v>1</v>
      </c>
      <c r="R256" s="4" t="s">
        <v>70</v>
      </c>
      <c r="S256" s="8">
        <v>0.05</v>
      </c>
      <c r="T256" s="7">
        <f t="shared" si="7"/>
        <v>11.305</v>
      </c>
    </row>
    <row r="257" spans="1:20" x14ac:dyDescent="0.3">
      <c r="A257">
        <v>256</v>
      </c>
      <c r="B257" s="4">
        <v>44816</v>
      </c>
      <c r="C257" s="5">
        <v>44816</v>
      </c>
      <c r="D257">
        <v>6464</v>
      </c>
      <c r="E257" t="s">
        <v>103</v>
      </c>
      <c r="F257">
        <v>23585</v>
      </c>
      <c r="G257" t="s">
        <v>140</v>
      </c>
      <c r="H257" t="s">
        <v>53</v>
      </c>
      <c r="I257" t="s">
        <v>297</v>
      </c>
      <c r="J257" t="s">
        <v>296</v>
      </c>
      <c r="K257" t="s">
        <v>7</v>
      </c>
      <c r="L257" t="s">
        <v>8</v>
      </c>
      <c r="N257" s="1">
        <v>5.95</v>
      </c>
      <c r="O257" s="6">
        <v>6</v>
      </c>
      <c r="P257" s="7">
        <f t="shared" si="6"/>
        <v>35.700000000000003</v>
      </c>
      <c r="Q257">
        <v>0</v>
      </c>
      <c r="R257" s="4" t="s">
        <v>67</v>
      </c>
      <c r="S257" s="8">
        <v>0</v>
      </c>
      <c r="T257" s="7">
        <f t="shared" si="7"/>
        <v>35.700000000000003</v>
      </c>
    </row>
    <row r="258" spans="1:20" x14ac:dyDescent="0.3">
      <c r="A258">
        <v>257</v>
      </c>
      <c r="B258" s="4">
        <v>44816</v>
      </c>
      <c r="C258" s="5">
        <v>44816</v>
      </c>
      <c r="D258">
        <v>8064</v>
      </c>
      <c r="E258" t="s">
        <v>90</v>
      </c>
      <c r="F258">
        <v>21785</v>
      </c>
      <c r="G258" t="s">
        <v>178</v>
      </c>
      <c r="H258" t="s">
        <v>54</v>
      </c>
      <c r="I258" t="s">
        <v>297</v>
      </c>
      <c r="J258" t="s">
        <v>296</v>
      </c>
      <c r="K258" t="s">
        <v>14</v>
      </c>
      <c r="L258" t="s">
        <v>15</v>
      </c>
      <c r="N258" s="1">
        <v>9.5</v>
      </c>
      <c r="O258" s="6">
        <v>9</v>
      </c>
      <c r="P258" s="7">
        <f t="shared" ref="P258:P307" si="8">N258*O258</f>
        <v>85.5</v>
      </c>
      <c r="Q258">
        <v>1</v>
      </c>
      <c r="R258" s="4" t="s">
        <v>70</v>
      </c>
      <c r="S258" s="8">
        <v>0.05</v>
      </c>
      <c r="T258" s="7">
        <f t="shared" ref="T258:T307" si="9">P258-P258*S258</f>
        <v>81.224999999999994</v>
      </c>
    </row>
    <row r="259" spans="1:20" x14ac:dyDescent="0.3">
      <c r="A259">
        <v>258</v>
      </c>
      <c r="B259" s="4">
        <v>44817</v>
      </c>
      <c r="C259" s="5">
        <v>44817</v>
      </c>
      <c r="D259">
        <v>5346</v>
      </c>
      <c r="E259" t="s">
        <v>101</v>
      </c>
      <c r="F259">
        <v>10523</v>
      </c>
      <c r="G259" t="s">
        <v>213</v>
      </c>
      <c r="H259" t="s">
        <v>52</v>
      </c>
      <c r="I259" t="s">
        <v>297</v>
      </c>
      <c r="J259" t="s">
        <v>296</v>
      </c>
      <c r="K259" t="s">
        <v>12</v>
      </c>
      <c r="L259" t="s">
        <v>13</v>
      </c>
      <c r="N259" s="1">
        <v>9</v>
      </c>
      <c r="O259" s="6">
        <v>10</v>
      </c>
      <c r="P259" s="7">
        <f t="shared" si="8"/>
        <v>90</v>
      </c>
      <c r="Q259">
        <v>5</v>
      </c>
      <c r="R259" s="4" t="s">
        <v>69</v>
      </c>
      <c r="S259" s="8">
        <v>0.15</v>
      </c>
      <c r="T259" s="7">
        <f t="shared" si="9"/>
        <v>76.5</v>
      </c>
    </row>
    <row r="260" spans="1:20" x14ac:dyDescent="0.3">
      <c r="A260">
        <v>259</v>
      </c>
      <c r="B260" s="4">
        <v>44817</v>
      </c>
      <c r="C260" s="5">
        <v>44817</v>
      </c>
      <c r="D260">
        <v>6892</v>
      </c>
      <c r="E260" t="s">
        <v>93</v>
      </c>
      <c r="F260">
        <v>23531</v>
      </c>
      <c r="G260" t="s">
        <v>224</v>
      </c>
      <c r="H260" t="s">
        <v>49</v>
      </c>
      <c r="I260" t="s">
        <v>297</v>
      </c>
      <c r="J260" t="s">
        <v>296</v>
      </c>
      <c r="K260" t="s">
        <v>12</v>
      </c>
      <c r="L260" t="s">
        <v>13</v>
      </c>
      <c r="N260" s="1">
        <v>9</v>
      </c>
      <c r="O260" s="6">
        <v>9</v>
      </c>
      <c r="P260" s="7">
        <f t="shared" si="8"/>
        <v>81</v>
      </c>
      <c r="Q260">
        <v>3</v>
      </c>
      <c r="R260" s="4" t="s">
        <v>68</v>
      </c>
      <c r="S260" s="8">
        <v>0.08</v>
      </c>
      <c r="T260" s="7">
        <f t="shared" si="9"/>
        <v>74.52</v>
      </c>
    </row>
    <row r="261" spans="1:20" x14ac:dyDescent="0.3">
      <c r="A261">
        <v>260</v>
      </c>
      <c r="B261" s="4">
        <v>44818</v>
      </c>
      <c r="C261" s="5">
        <v>44818</v>
      </c>
      <c r="D261">
        <v>4350</v>
      </c>
      <c r="E261" t="s">
        <v>100</v>
      </c>
      <c r="F261">
        <v>21803</v>
      </c>
      <c r="G261" t="s">
        <v>218</v>
      </c>
      <c r="H261" t="s">
        <v>49</v>
      </c>
      <c r="I261" t="s">
        <v>297</v>
      </c>
      <c r="J261" t="s">
        <v>296</v>
      </c>
      <c r="K261" t="s">
        <v>16</v>
      </c>
      <c r="L261" t="s">
        <v>17</v>
      </c>
      <c r="N261" s="1">
        <v>10</v>
      </c>
      <c r="O261" s="6">
        <v>6</v>
      </c>
      <c r="P261" s="7">
        <f t="shared" si="8"/>
        <v>60</v>
      </c>
      <c r="Q261">
        <v>2</v>
      </c>
      <c r="R261" s="4" t="s">
        <v>71</v>
      </c>
      <c r="S261" s="8">
        <v>0.06</v>
      </c>
      <c r="T261" s="7">
        <f t="shared" si="9"/>
        <v>56.4</v>
      </c>
    </row>
    <row r="262" spans="1:20" x14ac:dyDescent="0.3">
      <c r="A262">
        <v>261</v>
      </c>
      <c r="B262" s="4">
        <v>44818</v>
      </c>
      <c r="C262" s="5">
        <v>44818</v>
      </c>
      <c r="D262">
        <v>8064</v>
      </c>
      <c r="E262" t="s">
        <v>90</v>
      </c>
      <c r="F262">
        <v>10061</v>
      </c>
      <c r="G262" t="s">
        <v>197</v>
      </c>
      <c r="H262" t="s">
        <v>54</v>
      </c>
      <c r="I262" t="s">
        <v>297</v>
      </c>
      <c r="J262" t="s">
        <v>296</v>
      </c>
      <c r="K262" t="s">
        <v>14</v>
      </c>
      <c r="L262" t="s">
        <v>15</v>
      </c>
      <c r="N262" s="1">
        <v>9.5</v>
      </c>
      <c r="O262" s="6">
        <v>4</v>
      </c>
      <c r="P262" s="7">
        <f t="shared" si="8"/>
        <v>38</v>
      </c>
      <c r="Q262">
        <v>5</v>
      </c>
      <c r="R262" s="4" t="s">
        <v>69</v>
      </c>
      <c r="S262" s="8">
        <v>0.15</v>
      </c>
      <c r="T262" s="7">
        <f t="shared" si="9"/>
        <v>32.299999999999997</v>
      </c>
    </row>
    <row r="263" spans="1:20" x14ac:dyDescent="0.3">
      <c r="A263">
        <v>262</v>
      </c>
      <c r="B263" s="4">
        <v>44818</v>
      </c>
      <c r="C263" s="5">
        <v>44818</v>
      </c>
      <c r="D263">
        <v>6678</v>
      </c>
      <c r="E263" t="s">
        <v>102</v>
      </c>
      <c r="F263">
        <v>27538</v>
      </c>
      <c r="G263" t="s">
        <v>130</v>
      </c>
      <c r="H263" t="s">
        <v>52</v>
      </c>
      <c r="I263" t="s">
        <v>297</v>
      </c>
      <c r="J263" t="s">
        <v>296</v>
      </c>
      <c r="K263" t="s">
        <v>28</v>
      </c>
      <c r="L263" t="s">
        <v>29</v>
      </c>
      <c r="N263" s="1">
        <v>12</v>
      </c>
      <c r="O263" s="6">
        <v>2</v>
      </c>
      <c r="P263" s="7">
        <f t="shared" si="8"/>
        <v>24</v>
      </c>
      <c r="Q263">
        <v>5</v>
      </c>
      <c r="R263" s="4" t="s">
        <v>69</v>
      </c>
      <c r="S263" s="8">
        <v>0.15</v>
      </c>
      <c r="T263" s="7">
        <f t="shared" si="9"/>
        <v>20.399999999999999</v>
      </c>
    </row>
    <row r="264" spans="1:20" x14ac:dyDescent="0.3">
      <c r="A264">
        <v>263</v>
      </c>
      <c r="B264" s="4">
        <v>44818</v>
      </c>
      <c r="C264" s="5">
        <v>44818</v>
      </c>
      <c r="D264">
        <v>5418</v>
      </c>
      <c r="E264" t="s">
        <v>97</v>
      </c>
      <c r="F264">
        <v>27191</v>
      </c>
      <c r="G264" t="s">
        <v>142</v>
      </c>
      <c r="H264" t="s">
        <v>52</v>
      </c>
      <c r="I264" t="s">
        <v>297</v>
      </c>
      <c r="J264" t="s">
        <v>296</v>
      </c>
      <c r="K264" t="s">
        <v>23</v>
      </c>
      <c r="L264" t="s">
        <v>24</v>
      </c>
      <c r="N264" s="1">
        <v>7.5</v>
      </c>
      <c r="O264" s="6">
        <v>7</v>
      </c>
      <c r="P264" s="7">
        <f t="shared" si="8"/>
        <v>52.5</v>
      </c>
      <c r="Q264">
        <v>1</v>
      </c>
      <c r="R264" s="4" t="s">
        <v>70</v>
      </c>
      <c r="S264" s="8">
        <v>0.05</v>
      </c>
      <c r="T264" s="7">
        <f t="shared" si="9"/>
        <v>49.875</v>
      </c>
    </row>
    <row r="265" spans="1:20" x14ac:dyDescent="0.3">
      <c r="A265">
        <v>264</v>
      </c>
      <c r="B265" s="4">
        <v>44819</v>
      </c>
      <c r="C265" s="5">
        <v>44819</v>
      </c>
      <c r="D265">
        <v>6357</v>
      </c>
      <c r="E265" t="s">
        <v>98</v>
      </c>
      <c r="F265">
        <v>14501</v>
      </c>
      <c r="G265" t="s">
        <v>268</v>
      </c>
      <c r="H265" t="s">
        <v>59</v>
      </c>
      <c r="I265" t="s">
        <v>297</v>
      </c>
      <c r="J265" t="s">
        <v>296</v>
      </c>
      <c r="K265" t="s">
        <v>5</v>
      </c>
      <c r="L265" t="s">
        <v>6</v>
      </c>
      <c r="N265" s="1">
        <v>5.95</v>
      </c>
      <c r="O265" s="6">
        <v>3</v>
      </c>
      <c r="P265" s="7">
        <f t="shared" si="8"/>
        <v>17.850000000000001</v>
      </c>
      <c r="Q265">
        <v>5</v>
      </c>
      <c r="R265" s="4" t="s">
        <v>69</v>
      </c>
      <c r="S265" s="8">
        <v>0.15</v>
      </c>
      <c r="T265" s="7">
        <f t="shared" si="9"/>
        <v>15.172500000000001</v>
      </c>
    </row>
    <row r="266" spans="1:20" x14ac:dyDescent="0.3">
      <c r="A266">
        <v>265</v>
      </c>
      <c r="B266" s="4">
        <v>44819</v>
      </c>
      <c r="C266" s="5">
        <v>44819</v>
      </c>
      <c r="D266">
        <v>6892</v>
      </c>
      <c r="E266" t="s">
        <v>93</v>
      </c>
      <c r="F266">
        <v>15868</v>
      </c>
      <c r="G266" t="s">
        <v>239</v>
      </c>
      <c r="H266" t="s">
        <v>47</v>
      </c>
      <c r="I266" t="s">
        <v>297</v>
      </c>
      <c r="J266" t="s">
        <v>296</v>
      </c>
      <c r="K266" t="s">
        <v>19</v>
      </c>
      <c r="L266" t="s">
        <v>20</v>
      </c>
      <c r="N266" s="1">
        <v>7.5</v>
      </c>
      <c r="O266" s="6">
        <v>6</v>
      </c>
      <c r="P266" s="7">
        <f t="shared" si="8"/>
        <v>45</v>
      </c>
      <c r="Q266">
        <v>1</v>
      </c>
      <c r="R266" s="4" t="s">
        <v>70</v>
      </c>
      <c r="S266" s="8">
        <v>0.05</v>
      </c>
      <c r="T266" s="7">
        <f t="shared" si="9"/>
        <v>42.75</v>
      </c>
    </row>
    <row r="267" spans="1:20" x14ac:dyDescent="0.3">
      <c r="A267">
        <v>266</v>
      </c>
      <c r="B267" s="4">
        <v>44819</v>
      </c>
      <c r="C267" s="5">
        <v>44819</v>
      </c>
      <c r="D267">
        <v>6892</v>
      </c>
      <c r="E267" t="s">
        <v>93</v>
      </c>
      <c r="F267">
        <v>21104</v>
      </c>
      <c r="G267" t="s">
        <v>191</v>
      </c>
      <c r="H267" t="s">
        <v>56</v>
      </c>
      <c r="I267" t="s">
        <v>297</v>
      </c>
      <c r="J267" t="s">
        <v>296</v>
      </c>
      <c r="K267" t="s">
        <v>14</v>
      </c>
      <c r="L267" t="s">
        <v>15</v>
      </c>
      <c r="N267" s="1">
        <v>9.5</v>
      </c>
      <c r="O267" s="6">
        <v>2</v>
      </c>
      <c r="P267" s="7">
        <f t="shared" si="8"/>
        <v>19</v>
      </c>
      <c r="Q267">
        <v>4</v>
      </c>
      <c r="R267" s="4" t="s">
        <v>66</v>
      </c>
      <c r="S267" s="8">
        <v>0.1</v>
      </c>
      <c r="T267" s="7">
        <f t="shared" si="9"/>
        <v>17.100000000000001</v>
      </c>
    </row>
    <row r="268" spans="1:20" x14ac:dyDescent="0.3">
      <c r="A268">
        <v>267</v>
      </c>
      <c r="B268" s="4">
        <v>44820</v>
      </c>
      <c r="C268" s="5">
        <v>44820</v>
      </c>
      <c r="D268">
        <v>6892</v>
      </c>
      <c r="E268" t="s">
        <v>93</v>
      </c>
      <c r="F268">
        <v>18195</v>
      </c>
      <c r="G268" t="s">
        <v>223</v>
      </c>
      <c r="H268" t="s">
        <v>56</v>
      </c>
      <c r="I268" t="s">
        <v>297</v>
      </c>
      <c r="J268" t="s">
        <v>296</v>
      </c>
      <c r="K268" t="s">
        <v>12</v>
      </c>
      <c r="L268" t="s">
        <v>13</v>
      </c>
      <c r="N268" s="1">
        <v>9</v>
      </c>
      <c r="O268" s="6">
        <v>10</v>
      </c>
      <c r="P268" s="7">
        <f t="shared" si="8"/>
        <v>90</v>
      </c>
      <c r="Q268">
        <v>0</v>
      </c>
      <c r="R268" s="4" t="s">
        <v>67</v>
      </c>
      <c r="S268" s="8">
        <v>0</v>
      </c>
      <c r="T268" s="7">
        <f t="shared" si="9"/>
        <v>90</v>
      </c>
    </row>
    <row r="269" spans="1:20" x14ac:dyDescent="0.3">
      <c r="A269">
        <v>268</v>
      </c>
      <c r="B269" s="4">
        <v>44820</v>
      </c>
      <c r="C269" s="5">
        <v>44820</v>
      </c>
      <c r="D269">
        <v>8064</v>
      </c>
      <c r="E269" t="s">
        <v>90</v>
      </c>
      <c r="F269">
        <v>26018</v>
      </c>
      <c r="G269" t="s">
        <v>251</v>
      </c>
      <c r="H269" t="s">
        <v>53</v>
      </c>
      <c r="I269" t="s">
        <v>297</v>
      </c>
      <c r="J269" t="s">
        <v>296</v>
      </c>
      <c r="K269" t="s">
        <v>30</v>
      </c>
      <c r="L269" t="s">
        <v>31</v>
      </c>
      <c r="N269" s="1">
        <v>12</v>
      </c>
      <c r="O269" s="6">
        <v>8</v>
      </c>
      <c r="P269" s="7">
        <f t="shared" si="8"/>
        <v>96</v>
      </c>
      <c r="Q269">
        <v>4</v>
      </c>
      <c r="R269" s="4" t="s">
        <v>66</v>
      </c>
      <c r="S269" s="8">
        <v>0.1</v>
      </c>
      <c r="T269" s="7">
        <f t="shared" si="9"/>
        <v>86.4</v>
      </c>
    </row>
    <row r="270" spans="1:20" x14ac:dyDescent="0.3">
      <c r="A270">
        <v>269</v>
      </c>
      <c r="B270" s="4">
        <v>44821</v>
      </c>
      <c r="C270" s="5">
        <v>44821</v>
      </c>
      <c r="D270">
        <v>6464</v>
      </c>
      <c r="E270" t="s">
        <v>103</v>
      </c>
      <c r="F270">
        <v>13014</v>
      </c>
      <c r="G270" t="s">
        <v>185</v>
      </c>
      <c r="H270" t="s">
        <v>56</v>
      </c>
      <c r="I270" t="s">
        <v>297</v>
      </c>
      <c r="J270" t="s">
        <v>296</v>
      </c>
      <c r="K270" t="s">
        <v>23</v>
      </c>
      <c r="L270" t="s">
        <v>24</v>
      </c>
      <c r="N270" s="1">
        <v>7.5</v>
      </c>
      <c r="O270" s="6">
        <v>9</v>
      </c>
      <c r="P270" s="7">
        <f t="shared" si="8"/>
        <v>67.5</v>
      </c>
      <c r="Q270">
        <v>5</v>
      </c>
      <c r="R270" s="4" t="s">
        <v>69</v>
      </c>
      <c r="S270" s="8">
        <v>0.15</v>
      </c>
      <c r="T270" s="7">
        <f t="shared" si="9"/>
        <v>57.375</v>
      </c>
    </row>
    <row r="271" spans="1:20" x14ac:dyDescent="0.3">
      <c r="A271">
        <v>270</v>
      </c>
      <c r="B271" s="4">
        <v>44821</v>
      </c>
      <c r="C271" s="5">
        <v>44821</v>
      </c>
      <c r="D271">
        <v>6357</v>
      </c>
      <c r="E271" t="s">
        <v>98</v>
      </c>
      <c r="F271">
        <v>20177</v>
      </c>
      <c r="G271" t="s">
        <v>168</v>
      </c>
      <c r="H271" t="s">
        <v>54</v>
      </c>
      <c r="I271" t="s">
        <v>297</v>
      </c>
      <c r="J271" t="s">
        <v>296</v>
      </c>
      <c r="K271" t="s">
        <v>23</v>
      </c>
      <c r="L271" t="s">
        <v>24</v>
      </c>
      <c r="N271" s="1">
        <v>7.5</v>
      </c>
      <c r="O271" s="6">
        <v>4</v>
      </c>
      <c r="P271" s="7">
        <f t="shared" si="8"/>
        <v>30</v>
      </c>
      <c r="Q271">
        <v>3</v>
      </c>
      <c r="R271" s="4" t="s">
        <v>68</v>
      </c>
      <c r="S271" s="8">
        <v>0.08</v>
      </c>
      <c r="T271" s="7">
        <f t="shared" si="9"/>
        <v>27.6</v>
      </c>
    </row>
    <row r="272" spans="1:20" x14ac:dyDescent="0.3">
      <c r="A272">
        <v>271</v>
      </c>
      <c r="B272" s="4">
        <v>44822</v>
      </c>
      <c r="C272" s="5">
        <v>44822</v>
      </c>
      <c r="D272">
        <v>6678</v>
      </c>
      <c r="E272" t="s">
        <v>102</v>
      </c>
      <c r="F272">
        <v>22749</v>
      </c>
      <c r="G272" t="s">
        <v>250</v>
      </c>
      <c r="H272" t="s">
        <v>51</v>
      </c>
      <c r="I272" t="s">
        <v>298</v>
      </c>
      <c r="J272" t="s">
        <v>296</v>
      </c>
      <c r="K272" t="s">
        <v>14</v>
      </c>
      <c r="L272" t="s">
        <v>15</v>
      </c>
      <c r="N272" s="1">
        <v>9.5</v>
      </c>
      <c r="O272" s="6">
        <v>6</v>
      </c>
      <c r="P272" s="7">
        <f t="shared" si="8"/>
        <v>57</v>
      </c>
      <c r="Q272">
        <v>0</v>
      </c>
      <c r="R272" s="4" t="s">
        <v>67</v>
      </c>
      <c r="S272" s="8">
        <v>0</v>
      </c>
      <c r="T272" s="7">
        <f t="shared" si="9"/>
        <v>57</v>
      </c>
    </row>
    <row r="273" spans="1:20" x14ac:dyDescent="0.3">
      <c r="A273">
        <v>272</v>
      </c>
      <c r="B273" s="4">
        <v>44823</v>
      </c>
      <c r="C273" s="5">
        <v>44823</v>
      </c>
      <c r="D273">
        <v>6678</v>
      </c>
      <c r="E273" t="s">
        <v>102</v>
      </c>
      <c r="F273">
        <v>25168</v>
      </c>
      <c r="G273" t="s">
        <v>272</v>
      </c>
      <c r="H273" t="s">
        <v>59</v>
      </c>
      <c r="I273" t="s">
        <v>297</v>
      </c>
      <c r="J273" t="s">
        <v>296</v>
      </c>
      <c r="K273" t="s">
        <v>21</v>
      </c>
      <c r="L273" t="s">
        <v>22</v>
      </c>
      <c r="N273" s="1">
        <v>7.5</v>
      </c>
      <c r="O273" s="6">
        <v>3</v>
      </c>
      <c r="P273" s="7">
        <f t="shared" si="8"/>
        <v>22.5</v>
      </c>
      <c r="Q273">
        <v>4</v>
      </c>
      <c r="R273" s="4" t="s">
        <v>66</v>
      </c>
      <c r="S273" s="8">
        <v>0.1</v>
      </c>
      <c r="T273" s="7">
        <f t="shared" si="9"/>
        <v>20.25</v>
      </c>
    </row>
    <row r="274" spans="1:20" x14ac:dyDescent="0.3">
      <c r="A274">
        <v>273</v>
      </c>
      <c r="B274" s="4">
        <v>44824</v>
      </c>
      <c r="C274" s="5">
        <v>44824</v>
      </c>
      <c r="D274">
        <v>8064</v>
      </c>
      <c r="E274" t="s">
        <v>90</v>
      </c>
      <c r="F274">
        <v>16741</v>
      </c>
      <c r="G274" t="s">
        <v>217</v>
      </c>
      <c r="H274" t="s">
        <v>58</v>
      </c>
      <c r="I274" t="s">
        <v>299</v>
      </c>
      <c r="J274" t="s">
        <v>296</v>
      </c>
      <c r="K274" t="s">
        <v>19</v>
      </c>
      <c r="L274" t="s">
        <v>20</v>
      </c>
      <c r="N274" s="1">
        <v>7.5</v>
      </c>
      <c r="O274" s="6">
        <v>2</v>
      </c>
      <c r="P274" s="7">
        <f t="shared" si="8"/>
        <v>15</v>
      </c>
      <c r="Q274">
        <v>1</v>
      </c>
      <c r="R274" s="4" t="s">
        <v>70</v>
      </c>
      <c r="S274" s="8">
        <v>0.05</v>
      </c>
      <c r="T274" s="7">
        <f t="shared" si="9"/>
        <v>14.25</v>
      </c>
    </row>
    <row r="275" spans="1:20" x14ac:dyDescent="0.3">
      <c r="A275">
        <v>274</v>
      </c>
      <c r="B275" s="4">
        <v>44824</v>
      </c>
      <c r="C275" s="5">
        <v>44824</v>
      </c>
      <c r="D275">
        <v>5418</v>
      </c>
      <c r="E275" t="s">
        <v>97</v>
      </c>
      <c r="F275">
        <v>20676</v>
      </c>
      <c r="G275" t="s">
        <v>146</v>
      </c>
      <c r="H275" t="s">
        <v>53</v>
      </c>
      <c r="I275" t="s">
        <v>297</v>
      </c>
      <c r="J275" t="s">
        <v>296</v>
      </c>
      <c r="K275" t="s">
        <v>14</v>
      </c>
      <c r="L275" t="s">
        <v>15</v>
      </c>
      <c r="N275" s="1">
        <v>9.5</v>
      </c>
      <c r="O275" s="6">
        <v>5</v>
      </c>
      <c r="P275" s="7">
        <f t="shared" si="8"/>
        <v>47.5</v>
      </c>
      <c r="Q275">
        <v>4</v>
      </c>
      <c r="R275" s="4" t="s">
        <v>66</v>
      </c>
      <c r="S275" s="8">
        <v>0.1</v>
      </c>
      <c r="T275" s="7">
        <f t="shared" si="9"/>
        <v>42.75</v>
      </c>
    </row>
    <row r="276" spans="1:20" x14ac:dyDescent="0.3">
      <c r="A276">
        <v>275</v>
      </c>
      <c r="B276" s="4">
        <v>44824</v>
      </c>
      <c r="C276" s="5">
        <v>44824</v>
      </c>
      <c r="D276">
        <v>5400</v>
      </c>
      <c r="E276" t="s">
        <v>99</v>
      </c>
      <c r="F276">
        <v>15625</v>
      </c>
      <c r="G276" t="s">
        <v>267</v>
      </c>
      <c r="H276" t="s">
        <v>53</v>
      </c>
      <c r="I276" t="s">
        <v>297</v>
      </c>
      <c r="J276" t="s">
        <v>296</v>
      </c>
      <c r="K276" t="s">
        <v>9</v>
      </c>
      <c r="L276" t="s">
        <v>10</v>
      </c>
      <c r="N276" s="1">
        <v>5.95</v>
      </c>
      <c r="O276" s="6">
        <v>9</v>
      </c>
      <c r="P276" s="7">
        <f t="shared" si="8"/>
        <v>53.550000000000004</v>
      </c>
      <c r="Q276">
        <v>2</v>
      </c>
      <c r="R276" s="4" t="s">
        <v>71</v>
      </c>
      <c r="S276" s="8">
        <v>0.06</v>
      </c>
      <c r="T276" s="7">
        <f t="shared" si="9"/>
        <v>50.337000000000003</v>
      </c>
    </row>
    <row r="277" spans="1:20" x14ac:dyDescent="0.3">
      <c r="A277">
        <v>276</v>
      </c>
      <c r="B277" s="4">
        <v>44824</v>
      </c>
      <c r="C277" s="5">
        <v>44824</v>
      </c>
      <c r="D277">
        <v>6464</v>
      </c>
      <c r="E277" t="s">
        <v>103</v>
      </c>
      <c r="F277">
        <v>22883</v>
      </c>
      <c r="G277" t="s">
        <v>256</v>
      </c>
      <c r="H277" t="s">
        <v>63</v>
      </c>
      <c r="I277" t="s">
        <v>297</v>
      </c>
      <c r="J277" t="s">
        <v>296</v>
      </c>
      <c r="K277" t="s">
        <v>30</v>
      </c>
      <c r="L277" t="s">
        <v>31</v>
      </c>
      <c r="N277" s="1">
        <v>12</v>
      </c>
      <c r="O277" s="6">
        <v>7</v>
      </c>
      <c r="P277" s="7">
        <f t="shared" si="8"/>
        <v>84</v>
      </c>
      <c r="Q277">
        <v>0</v>
      </c>
      <c r="R277" s="4" t="s">
        <v>67</v>
      </c>
      <c r="S277" s="8">
        <v>0</v>
      </c>
      <c r="T277" s="7">
        <f t="shared" si="9"/>
        <v>84</v>
      </c>
    </row>
    <row r="278" spans="1:20" x14ac:dyDescent="0.3">
      <c r="A278">
        <v>277</v>
      </c>
      <c r="B278" s="4">
        <v>44825</v>
      </c>
      <c r="C278" s="5">
        <v>44825</v>
      </c>
      <c r="D278">
        <v>5346</v>
      </c>
      <c r="E278" t="s">
        <v>101</v>
      </c>
      <c r="F278">
        <v>15288</v>
      </c>
      <c r="G278" t="s">
        <v>166</v>
      </c>
      <c r="H278" t="s">
        <v>53</v>
      </c>
      <c r="I278" t="s">
        <v>297</v>
      </c>
      <c r="J278" t="s">
        <v>296</v>
      </c>
      <c r="K278" t="s">
        <v>7</v>
      </c>
      <c r="L278" t="s">
        <v>8</v>
      </c>
      <c r="N278" s="1">
        <v>5.95</v>
      </c>
      <c r="O278" s="6">
        <v>10</v>
      </c>
      <c r="P278" s="7">
        <f t="shared" si="8"/>
        <v>59.5</v>
      </c>
      <c r="Q278">
        <v>0</v>
      </c>
      <c r="R278" s="4" t="s">
        <v>67</v>
      </c>
      <c r="S278" s="8">
        <v>0</v>
      </c>
      <c r="T278" s="7">
        <f t="shared" si="9"/>
        <v>59.5</v>
      </c>
    </row>
    <row r="279" spans="1:20" x14ac:dyDescent="0.3">
      <c r="A279">
        <v>278</v>
      </c>
      <c r="B279" s="4">
        <v>44825</v>
      </c>
      <c r="C279" s="5">
        <v>44825</v>
      </c>
      <c r="D279">
        <v>6678</v>
      </c>
      <c r="E279" t="s">
        <v>102</v>
      </c>
      <c r="F279">
        <v>23211</v>
      </c>
      <c r="G279" t="s">
        <v>153</v>
      </c>
      <c r="H279" t="s">
        <v>56</v>
      </c>
      <c r="I279" t="s">
        <v>297</v>
      </c>
      <c r="J279" t="s">
        <v>296</v>
      </c>
      <c r="K279" t="s">
        <v>30</v>
      </c>
      <c r="L279" t="s">
        <v>31</v>
      </c>
      <c r="N279" s="1">
        <v>12</v>
      </c>
      <c r="O279" s="6">
        <v>1</v>
      </c>
      <c r="P279" s="7">
        <f t="shared" si="8"/>
        <v>12</v>
      </c>
      <c r="Q279">
        <v>1</v>
      </c>
      <c r="R279" s="4" t="s">
        <v>70</v>
      </c>
      <c r="S279" s="8">
        <v>0.05</v>
      </c>
      <c r="T279" s="7">
        <f t="shared" si="9"/>
        <v>11.4</v>
      </c>
    </row>
    <row r="280" spans="1:20" x14ac:dyDescent="0.3">
      <c r="A280">
        <v>279</v>
      </c>
      <c r="B280" s="4">
        <v>44825</v>
      </c>
      <c r="C280" s="5">
        <v>44825</v>
      </c>
      <c r="D280">
        <v>5418</v>
      </c>
      <c r="E280" t="s">
        <v>97</v>
      </c>
      <c r="F280">
        <v>19375</v>
      </c>
      <c r="G280" t="s">
        <v>172</v>
      </c>
      <c r="H280" t="s">
        <v>56</v>
      </c>
      <c r="I280" t="s">
        <v>297</v>
      </c>
      <c r="J280" t="s">
        <v>296</v>
      </c>
      <c r="K280" t="s">
        <v>5</v>
      </c>
      <c r="L280" t="s">
        <v>6</v>
      </c>
      <c r="N280" s="1">
        <v>5.95</v>
      </c>
      <c r="O280" s="6">
        <v>3</v>
      </c>
      <c r="P280" s="7">
        <f t="shared" si="8"/>
        <v>17.850000000000001</v>
      </c>
      <c r="Q280">
        <v>4</v>
      </c>
      <c r="R280" s="4" t="s">
        <v>66</v>
      </c>
      <c r="S280" s="8">
        <v>0.1</v>
      </c>
      <c r="T280" s="7">
        <f t="shared" si="9"/>
        <v>16.065000000000001</v>
      </c>
    </row>
    <row r="281" spans="1:20" x14ac:dyDescent="0.3">
      <c r="A281">
        <v>280</v>
      </c>
      <c r="B281" s="4">
        <v>44825</v>
      </c>
      <c r="C281" s="5">
        <v>44825</v>
      </c>
      <c r="D281">
        <v>8064</v>
      </c>
      <c r="E281" t="s">
        <v>90</v>
      </c>
      <c r="F281">
        <v>15256</v>
      </c>
      <c r="G281" t="s">
        <v>144</v>
      </c>
      <c r="H281" t="s">
        <v>56</v>
      </c>
      <c r="I281" t="s">
        <v>297</v>
      </c>
      <c r="J281" t="s">
        <v>296</v>
      </c>
      <c r="K281" t="s">
        <v>30</v>
      </c>
      <c r="L281" t="s">
        <v>31</v>
      </c>
      <c r="N281" s="1">
        <v>12</v>
      </c>
      <c r="O281" s="6">
        <v>4</v>
      </c>
      <c r="P281" s="7">
        <f t="shared" si="8"/>
        <v>48</v>
      </c>
      <c r="Q281">
        <v>5</v>
      </c>
      <c r="R281" s="4" t="s">
        <v>69</v>
      </c>
      <c r="S281" s="8">
        <v>0.15</v>
      </c>
      <c r="T281" s="7">
        <f t="shared" si="9"/>
        <v>40.799999999999997</v>
      </c>
    </row>
    <row r="282" spans="1:20" x14ac:dyDescent="0.3">
      <c r="A282">
        <v>281</v>
      </c>
      <c r="B282" s="4">
        <v>44825</v>
      </c>
      <c r="C282" s="5">
        <v>44825</v>
      </c>
      <c r="D282">
        <v>6892</v>
      </c>
      <c r="E282" t="s">
        <v>93</v>
      </c>
      <c r="F282">
        <v>24924</v>
      </c>
      <c r="G282" t="s">
        <v>175</v>
      </c>
      <c r="H282" t="s">
        <v>53</v>
      </c>
      <c r="I282" t="s">
        <v>297</v>
      </c>
      <c r="J282" t="s">
        <v>296</v>
      </c>
      <c r="K282" t="s">
        <v>21</v>
      </c>
      <c r="L282" t="s">
        <v>22</v>
      </c>
      <c r="N282" s="1">
        <v>7.5</v>
      </c>
      <c r="O282" s="6">
        <v>3</v>
      </c>
      <c r="P282" s="7">
        <f t="shared" si="8"/>
        <v>22.5</v>
      </c>
      <c r="Q282">
        <v>5</v>
      </c>
      <c r="R282" s="4" t="s">
        <v>69</v>
      </c>
      <c r="S282" s="8">
        <v>0.15</v>
      </c>
      <c r="T282" s="7">
        <f t="shared" si="9"/>
        <v>19.125</v>
      </c>
    </row>
    <row r="283" spans="1:20" x14ac:dyDescent="0.3">
      <c r="A283">
        <v>282</v>
      </c>
      <c r="B283" s="4">
        <v>44825</v>
      </c>
      <c r="C283" s="5">
        <v>44825</v>
      </c>
      <c r="D283">
        <v>6143</v>
      </c>
      <c r="E283" t="s">
        <v>104</v>
      </c>
      <c r="F283">
        <v>26554</v>
      </c>
      <c r="G283" t="s">
        <v>273</v>
      </c>
      <c r="H283" t="s">
        <v>56</v>
      </c>
      <c r="I283" t="s">
        <v>297</v>
      </c>
      <c r="J283" t="s">
        <v>296</v>
      </c>
      <c r="K283" t="s">
        <v>19</v>
      </c>
      <c r="L283" t="s">
        <v>20</v>
      </c>
      <c r="N283" s="1">
        <v>7.5</v>
      </c>
      <c r="O283" s="6">
        <v>8</v>
      </c>
      <c r="P283" s="7">
        <f t="shared" si="8"/>
        <v>60</v>
      </c>
      <c r="Q283">
        <v>3</v>
      </c>
      <c r="R283" s="4" t="s">
        <v>68</v>
      </c>
      <c r="S283" s="8">
        <v>0.08</v>
      </c>
      <c r="T283" s="7">
        <f t="shared" si="9"/>
        <v>55.2</v>
      </c>
    </row>
    <row r="284" spans="1:20" x14ac:dyDescent="0.3">
      <c r="A284">
        <v>283</v>
      </c>
      <c r="B284" s="4">
        <v>44825</v>
      </c>
      <c r="C284" s="5">
        <v>44825</v>
      </c>
      <c r="D284">
        <v>6678</v>
      </c>
      <c r="E284" t="s">
        <v>102</v>
      </c>
      <c r="F284">
        <v>15256</v>
      </c>
      <c r="G284" t="s">
        <v>144</v>
      </c>
      <c r="H284" t="s">
        <v>56</v>
      </c>
      <c r="I284" t="s">
        <v>297</v>
      </c>
      <c r="J284" t="s">
        <v>296</v>
      </c>
      <c r="K284" t="s">
        <v>32</v>
      </c>
      <c r="L284" t="s">
        <v>33</v>
      </c>
      <c r="N284" s="1">
        <v>12</v>
      </c>
      <c r="O284" s="6">
        <v>5</v>
      </c>
      <c r="P284" s="7">
        <f t="shared" si="8"/>
        <v>60</v>
      </c>
      <c r="Q284">
        <v>2</v>
      </c>
      <c r="R284" s="4" t="s">
        <v>71</v>
      </c>
      <c r="S284" s="8">
        <v>0.06</v>
      </c>
      <c r="T284" s="7">
        <f t="shared" si="9"/>
        <v>56.4</v>
      </c>
    </row>
    <row r="285" spans="1:20" x14ac:dyDescent="0.3">
      <c r="A285">
        <v>284</v>
      </c>
      <c r="B285" s="4">
        <v>44826</v>
      </c>
      <c r="C285" s="5">
        <v>44826</v>
      </c>
      <c r="D285">
        <v>5418</v>
      </c>
      <c r="E285" t="s">
        <v>97</v>
      </c>
      <c r="F285">
        <v>10075</v>
      </c>
      <c r="G285" t="s">
        <v>196</v>
      </c>
      <c r="H285" t="s">
        <v>54</v>
      </c>
      <c r="I285" t="s">
        <v>297</v>
      </c>
      <c r="J285" t="s">
        <v>296</v>
      </c>
      <c r="K285" t="s">
        <v>9</v>
      </c>
      <c r="L285" t="s">
        <v>10</v>
      </c>
      <c r="N285" s="1">
        <v>5.95</v>
      </c>
      <c r="O285" s="6">
        <v>5</v>
      </c>
      <c r="P285" s="7">
        <f t="shared" si="8"/>
        <v>29.75</v>
      </c>
      <c r="Q285">
        <v>4</v>
      </c>
      <c r="R285" s="4" t="s">
        <v>66</v>
      </c>
      <c r="S285" s="8">
        <v>0.1</v>
      </c>
      <c r="T285" s="7">
        <f t="shared" si="9"/>
        <v>26.774999999999999</v>
      </c>
    </row>
    <row r="286" spans="1:20" x14ac:dyDescent="0.3">
      <c r="A286">
        <v>285</v>
      </c>
      <c r="B286" s="4">
        <v>44826</v>
      </c>
      <c r="C286" s="5">
        <v>44826</v>
      </c>
      <c r="D286">
        <v>8064</v>
      </c>
      <c r="E286" t="s">
        <v>90</v>
      </c>
      <c r="F286">
        <v>12265</v>
      </c>
      <c r="G286" t="s">
        <v>129</v>
      </c>
      <c r="H286" t="s">
        <v>61</v>
      </c>
      <c r="I286" t="s">
        <v>297</v>
      </c>
      <c r="J286" t="s">
        <v>296</v>
      </c>
      <c r="K286" t="s">
        <v>7</v>
      </c>
      <c r="L286" t="s">
        <v>8</v>
      </c>
      <c r="N286" s="1">
        <v>5.95</v>
      </c>
      <c r="O286" s="6">
        <v>8</v>
      </c>
      <c r="P286" s="7">
        <f t="shared" si="8"/>
        <v>47.6</v>
      </c>
      <c r="Q286">
        <v>0</v>
      </c>
      <c r="R286" s="4" t="s">
        <v>67</v>
      </c>
      <c r="S286" s="8">
        <v>0</v>
      </c>
      <c r="T286" s="7">
        <f t="shared" si="9"/>
        <v>47.6</v>
      </c>
    </row>
    <row r="287" spans="1:20" x14ac:dyDescent="0.3">
      <c r="A287">
        <v>286</v>
      </c>
      <c r="B287" s="4">
        <v>44827</v>
      </c>
      <c r="C287" s="5">
        <v>44827</v>
      </c>
      <c r="D287">
        <v>6678</v>
      </c>
      <c r="E287" t="s">
        <v>102</v>
      </c>
      <c r="F287">
        <v>25355</v>
      </c>
      <c r="G287" t="s">
        <v>182</v>
      </c>
      <c r="H287" t="s">
        <v>55</v>
      </c>
      <c r="I287" t="s">
        <v>297</v>
      </c>
      <c r="J287" t="s">
        <v>296</v>
      </c>
      <c r="K287" t="s">
        <v>25</v>
      </c>
      <c r="L287" t="s">
        <v>26</v>
      </c>
      <c r="N287" s="1">
        <v>8</v>
      </c>
      <c r="O287" s="6">
        <v>8</v>
      </c>
      <c r="P287" s="7">
        <f t="shared" si="8"/>
        <v>64</v>
      </c>
      <c r="Q287">
        <v>1</v>
      </c>
      <c r="R287" s="4" t="s">
        <v>70</v>
      </c>
      <c r="S287" s="8">
        <v>0.05</v>
      </c>
      <c r="T287" s="7">
        <f t="shared" si="9"/>
        <v>60.8</v>
      </c>
    </row>
    <row r="288" spans="1:20" x14ac:dyDescent="0.3">
      <c r="A288">
        <v>287</v>
      </c>
      <c r="B288" s="4">
        <v>44827</v>
      </c>
      <c r="C288" s="5">
        <v>44827</v>
      </c>
      <c r="D288">
        <v>6250</v>
      </c>
      <c r="E288" t="s">
        <v>94</v>
      </c>
      <c r="F288">
        <v>25168</v>
      </c>
      <c r="G288" t="s">
        <v>272</v>
      </c>
      <c r="H288" t="s">
        <v>59</v>
      </c>
      <c r="I288" t="s">
        <v>297</v>
      </c>
      <c r="J288" t="s">
        <v>296</v>
      </c>
      <c r="K288" t="s">
        <v>19</v>
      </c>
      <c r="L288" t="s">
        <v>20</v>
      </c>
      <c r="N288" s="1">
        <v>7.5</v>
      </c>
      <c r="O288" s="6">
        <v>5</v>
      </c>
      <c r="P288" s="7">
        <f t="shared" si="8"/>
        <v>37.5</v>
      </c>
      <c r="Q288">
        <v>2</v>
      </c>
      <c r="R288" s="4" t="s">
        <v>71</v>
      </c>
      <c r="S288" s="8">
        <v>0.06</v>
      </c>
      <c r="T288" s="7">
        <f t="shared" si="9"/>
        <v>35.25</v>
      </c>
    </row>
    <row r="289" spans="1:20" x14ac:dyDescent="0.3">
      <c r="A289">
        <v>288</v>
      </c>
      <c r="B289" s="4">
        <v>44827</v>
      </c>
      <c r="C289" s="5">
        <v>44827</v>
      </c>
      <c r="D289">
        <v>4350</v>
      </c>
      <c r="E289" t="s">
        <v>100</v>
      </c>
      <c r="F289">
        <v>16088</v>
      </c>
      <c r="G289" t="s">
        <v>269</v>
      </c>
      <c r="H289" t="s">
        <v>56</v>
      </c>
      <c r="I289" t="s">
        <v>297</v>
      </c>
      <c r="J289" t="s">
        <v>296</v>
      </c>
      <c r="K289" t="s">
        <v>25</v>
      </c>
      <c r="L289" t="s">
        <v>26</v>
      </c>
      <c r="N289" s="1">
        <v>8</v>
      </c>
      <c r="O289" s="6">
        <v>2</v>
      </c>
      <c r="P289" s="7">
        <f t="shared" si="8"/>
        <v>16</v>
      </c>
      <c r="Q289">
        <v>2</v>
      </c>
      <c r="R289" s="4" t="s">
        <v>71</v>
      </c>
      <c r="S289" s="8">
        <v>0.06</v>
      </c>
      <c r="T289" s="7">
        <f t="shared" si="9"/>
        <v>15.04</v>
      </c>
    </row>
    <row r="290" spans="1:20" x14ac:dyDescent="0.3">
      <c r="A290">
        <v>289</v>
      </c>
      <c r="B290" s="4">
        <v>44828</v>
      </c>
      <c r="C290" s="5">
        <v>44828</v>
      </c>
      <c r="D290">
        <v>6678</v>
      </c>
      <c r="E290" t="s">
        <v>102</v>
      </c>
      <c r="F290">
        <v>25523</v>
      </c>
      <c r="G290" t="s">
        <v>202</v>
      </c>
      <c r="H290" t="s">
        <v>56</v>
      </c>
      <c r="I290" t="s">
        <v>297</v>
      </c>
      <c r="J290" t="s">
        <v>296</v>
      </c>
      <c r="K290" t="s">
        <v>32</v>
      </c>
      <c r="L290" t="s">
        <v>33</v>
      </c>
      <c r="N290" s="1">
        <v>12</v>
      </c>
      <c r="O290" s="6">
        <v>5</v>
      </c>
      <c r="P290" s="7">
        <f t="shared" si="8"/>
        <v>60</v>
      </c>
      <c r="Q290">
        <v>0</v>
      </c>
      <c r="R290" s="4" t="s">
        <v>67</v>
      </c>
      <c r="S290" s="8">
        <v>0</v>
      </c>
      <c r="T290" s="7">
        <f t="shared" si="9"/>
        <v>60</v>
      </c>
    </row>
    <row r="291" spans="1:20" x14ac:dyDescent="0.3">
      <c r="A291">
        <v>290</v>
      </c>
      <c r="B291" s="4">
        <v>44828</v>
      </c>
      <c r="C291" s="5">
        <v>44828</v>
      </c>
      <c r="D291">
        <v>5454</v>
      </c>
      <c r="E291" t="s">
        <v>91</v>
      </c>
      <c r="F291">
        <v>23607</v>
      </c>
      <c r="G291" t="s">
        <v>259</v>
      </c>
      <c r="H291" t="s">
        <v>58</v>
      </c>
      <c r="I291" t="s">
        <v>299</v>
      </c>
      <c r="J291" t="s">
        <v>296</v>
      </c>
      <c r="K291" t="s">
        <v>32</v>
      </c>
      <c r="L291" t="s">
        <v>33</v>
      </c>
      <c r="N291" s="1">
        <v>12</v>
      </c>
      <c r="O291" s="6">
        <v>3</v>
      </c>
      <c r="P291" s="7">
        <f t="shared" si="8"/>
        <v>36</v>
      </c>
      <c r="Q291">
        <v>2</v>
      </c>
      <c r="R291" s="4" t="s">
        <v>71</v>
      </c>
      <c r="S291" s="8">
        <v>0.06</v>
      </c>
      <c r="T291" s="7">
        <f t="shared" si="9"/>
        <v>33.840000000000003</v>
      </c>
    </row>
    <row r="292" spans="1:20" x14ac:dyDescent="0.3">
      <c r="A292">
        <v>291</v>
      </c>
      <c r="B292" s="4">
        <v>44829</v>
      </c>
      <c r="C292" s="5">
        <v>44829</v>
      </c>
      <c r="D292">
        <v>5400</v>
      </c>
      <c r="E292" t="s">
        <v>99</v>
      </c>
      <c r="F292">
        <v>19904</v>
      </c>
      <c r="G292" t="s">
        <v>164</v>
      </c>
      <c r="H292" t="s">
        <v>55</v>
      </c>
      <c r="I292" t="s">
        <v>297</v>
      </c>
      <c r="J292" t="s">
        <v>296</v>
      </c>
      <c r="K292" t="s">
        <v>25</v>
      </c>
      <c r="L292" t="s">
        <v>26</v>
      </c>
      <c r="N292" s="1">
        <v>8</v>
      </c>
      <c r="O292" s="6">
        <v>7</v>
      </c>
      <c r="P292" s="7">
        <f t="shared" si="8"/>
        <v>56</v>
      </c>
      <c r="Q292">
        <v>0</v>
      </c>
      <c r="R292" s="4" t="s">
        <v>67</v>
      </c>
      <c r="S292" s="8">
        <v>0</v>
      </c>
      <c r="T292" s="7">
        <f t="shared" si="9"/>
        <v>56</v>
      </c>
    </row>
    <row r="293" spans="1:20" x14ac:dyDescent="0.3">
      <c r="A293">
        <v>292</v>
      </c>
      <c r="B293" s="4">
        <v>44829</v>
      </c>
      <c r="C293" s="5">
        <v>44829</v>
      </c>
      <c r="D293">
        <v>6892</v>
      </c>
      <c r="E293" t="s">
        <v>93</v>
      </c>
      <c r="F293">
        <v>10734</v>
      </c>
      <c r="G293" t="s">
        <v>221</v>
      </c>
      <c r="H293" t="s">
        <v>51</v>
      </c>
      <c r="I293" t="s">
        <v>298</v>
      </c>
      <c r="J293" t="s">
        <v>296</v>
      </c>
      <c r="K293" t="s">
        <v>12</v>
      </c>
      <c r="L293" t="s">
        <v>13</v>
      </c>
      <c r="N293" s="1">
        <v>9</v>
      </c>
      <c r="O293" s="6">
        <v>6</v>
      </c>
      <c r="P293" s="7">
        <f t="shared" si="8"/>
        <v>54</v>
      </c>
      <c r="Q293">
        <v>0</v>
      </c>
      <c r="R293" s="4" t="s">
        <v>67</v>
      </c>
      <c r="S293" s="8">
        <v>0</v>
      </c>
      <c r="T293" s="7">
        <f t="shared" si="9"/>
        <v>54</v>
      </c>
    </row>
    <row r="294" spans="1:20" x14ac:dyDescent="0.3">
      <c r="A294">
        <v>293</v>
      </c>
      <c r="B294" s="4">
        <v>44829</v>
      </c>
      <c r="C294" s="5">
        <v>44829</v>
      </c>
      <c r="D294">
        <v>8064</v>
      </c>
      <c r="E294" t="s">
        <v>90</v>
      </c>
      <c r="F294">
        <v>25226</v>
      </c>
      <c r="G294" t="s">
        <v>163</v>
      </c>
      <c r="H294" t="s">
        <v>62</v>
      </c>
      <c r="I294" t="s">
        <v>297</v>
      </c>
      <c r="J294" t="s">
        <v>296</v>
      </c>
      <c r="K294" t="s">
        <v>9</v>
      </c>
      <c r="L294" t="s">
        <v>10</v>
      </c>
      <c r="N294" s="1">
        <v>5.95</v>
      </c>
      <c r="O294" s="6">
        <v>7</v>
      </c>
      <c r="P294" s="7">
        <f t="shared" si="8"/>
        <v>41.65</v>
      </c>
      <c r="Q294">
        <v>1</v>
      </c>
      <c r="R294" s="4" t="s">
        <v>70</v>
      </c>
      <c r="S294" s="8">
        <v>0.05</v>
      </c>
      <c r="T294" s="7">
        <f t="shared" si="9"/>
        <v>39.567499999999995</v>
      </c>
    </row>
    <row r="295" spans="1:20" x14ac:dyDescent="0.3">
      <c r="A295">
        <v>294</v>
      </c>
      <c r="B295" s="4">
        <v>44830</v>
      </c>
      <c r="C295" s="5">
        <v>44830</v>
      </c>
      <c r="D295">
        <v>6571</v>
      </c>
      <c r="E295" t="s">
        <v>96</v>
      </c>
      <c r="F295">
        <v>10558</v>
      </c>
      <c r="G295" t="s">
        <v>165</v>
      </c>
      <c r="H295" t="s">
        <v>54</v>
      </c>
      <c r="I295" t="s">
        <v>297</v>
      </c>
      <c r="J295" t="s">
        <v>296</v>
      </c>
      <c r="K295" t="s">
        <v>30</v>
      </c>
      <c r="L295" t="s">
        <v>31</v>
      </c>
      <c r="N295" s="1">
        <v>12</v>
      </c>
      <c r="O295" s="6">
        <v>1</v>
      </c>
      <c r="P295" s="7">
        <f t="shared" si="8"/>
        <v>12</v>
      </c>
      <c r="Q295">
        <v>0</v>
      </c>
      <c r="R295" s="4" t="s">
        <v>67</v>
      </c>
      <c r="S295" s="8">
        <v>0</v>
      </c>
      <c r="T295" s="7">
        <f t="shared" si="9"/>
        <v>12</v>
      </c>
    </row>
    <row r="296" spans="1:20" x14ac:dyDescent="0.3">
      <c r="A296">
        <v>295</v>
      </c>
      <c r="B296" s="4">
        <v>44830</v>
      </c>
      <c r="C296" s="5">
        <v>44830</v>
      </c>
      <c r="D296">
        <v>6892</v>
      </c>
      <c r="E296" t="s">
        <v>93</v>
      </c>
      <c r="F296">
        <v>18345</v>
      </c>
      <c r="G296" t="s">
        <v>249</v>
      </c>
      <c r="H296" t="s">
        <v>61</v>
      </c>
      <c r="I296" t="s">
        <v>297</v>
      </c>
      <c r="J296" t="s">
        <v>296</v>
      </c>
      <c r="K296" t="s">
        <v>25</v>
      </c>
      <c r="L296" t="s">
        <v>26</v>
      </c>
      <c r="N296" s="1">
        <v>8</v>
      </c>
      <c r="O296" s="6">
        <v>1</v>
      </c>
      <c r="P296" s="7">
        <f t="shared" si="8"/>
        <v>8</v>
      </c>
      <c r="Q296">
        <v>3</v>
      </c>
      <c r="R296" s="4" t="s">
        <v>68</v>
      </c>
      <c r="S296" s="8">
        <v>0.08</v>
      </c>
      <c r="T296" s="7">
        <f t="shared" si="9"/>
        <v>7.36</v>
      </c>
    </row>
    <row r="297" spans="1:20" x14ac:dyDescent="0.3">
      <c r="A297">
        <v>296</v>
      </c>
      <c r="B297" s="4">
        <v>44831</v>
      </c>
      <c r="C297" s="5">
        <v>44831</v>
      </c>
      <c r="D297">
        <v>8064</v>
      </c>
      <c r="E297" t="s">
        <v>90</v>
      </c>
      <c r="F297">
        <v>20177</v>
      </c>
      <c r="G297" t="s">
        <v>168</v>
      </c>
      <c r="H297" t="s">
        <v>54</v>
      </c>
      <c r="I297" t="s">
        <v>297</v>
      </c>
      <c r="J297" t="s">
        <v>296</v>
      </c>
      <c r="K297" t="s">
        <v>21</v>
      </c>
      <c r="L297" t="s">
        <v>22</v>
      </c>
      <c r="N297" s="1">
        <v>7.5</v>
      </c>
      <c r="O297" s="6">
        <v>7</v>
      </c>
      <c r="P297" s="7">
        <f t="shared" si="8"/>
        <v>52.5</v>
      </c>
      <c r="Q297">
        <v>1</v>
      </c>
      <c r="R297" s="4" t="s">
        <v>70</v>
      </c>
      <c r="S297" s="8">
        <v>0.05</v>
      </c>
      <c r="T297" s="7">
        <f t="shared" si="9"/>
        <v>49.875</v>
      </c>
    </row>
    <row r="298" spans="1:20" x14ac:dyDescent="0.3">
      <c r="A298">
        <v>297</v>
      </c>
      <c r="B298" s="4">
        <v>44832</v>
      </c>
      <c r="C298" s="5">
        <v>44832</v>
      </c>
      <c r="D298">
        <v>5454</v>
      </c>
      <c r="E298" t="s">
        <v>91</v>
      </c>
      <c r="F298">
        <v>26554</v>
      </c>
      <c r="G298" t="s">
        <v>273</v>
      </c>
      <c r="H298" t="s">
        <v>56</v>
      </c>
      <c r="I298" t="s">
        <v>297</v>
      </c>
      <c r="J298" t="s">
        <v>296</v>
      </c>
      <c r="K298" t="s">
        <v>16</v>
      </c>
      <c r="L298" t="s">
        <v>17</v>
      </c>
      <c r="N298" s="1">
        <v>10</v>
      </c>
      <c r="O298" s="6">
        <v>4</v>
      </c>
      <c r="P298" s="7">
        <f t="shared" si="8"/>
        <v>40</v>
      </c>
      <c r="Q298">
        <v>5</v>
      </c>
      <c r="R298" s="4" t="s">
        <v>69</v>
      </c>
      <c r="S298" s="8">
        <v>0.15</v>
      </c>
      <c r="T298" s="7">
        <f t="shared" si="9"/>
        <v>34</v>
      </c>
    </row>
    <row r="299" spans="1:20" x14ac:dyDescent="0.3">
      <c r="A299">
        <v>298</v>
      </c>
      <c r="B299" s="4">
        <v>44832</v>
      </c>
      <c r="C299" s="5">
        <v>44832</v>
      </c>
      <c r="D299">
        <v>1384</v>
      </c>
      <c r="E299" t="s">
        <v>95</v>
      </c>
      <c r="F299">
        <v>11124</v>
      </c>
      <c r="G299" t="s">
        <v>132</v>
      </c>
      <c r="H299" t="s">
        <v>57</v>
      </c>
      <c r="I299" t="s">
        <v>297</v>
      </c>
      <c r="J299" t="s">
        <v>296</v>
      </c>
      <c r="K299" t="s">
        <v>28</v>
      </c>
      <c r="L299" t="s">
        <v>29</v>
      </c>
      <c r="N299" s="1">
        <v>12</v>
      </c>
      <c r="O299" s="6">
        <v>3</v>
      </c>
      <c r="P299" s="7">
        <f t="shared" si="8"/>
        <v>36</v>
      </c>
      <c r="Q299">
        <v>1</v>
      </c>
      <c r="R299" s="4" t="s">
        <v>70</v>
      </c>
      <c r="S299" s="8">
        <v>0.05</v>
      </c>
      <c r="T299" s="7">
        <f t="shared" si="9"/>
        <v>34.200000000000003</v>
      </c>
    </row>
    <row r="300" spans="1:20" x14ac:dyDescent="0.3">
      <c r="A300">
        <v>299</v>
      </c>
      <c r="B300" s="4">
        <v>44833</v>
      </c>
      <c r="C300" s="5">
        <v>44833</v>
      </c>
      <c r="D300">
        <v>6678</v>
      </c>
      <c r="E300" t="s">
        <v>102</v>
      </c>
      <c r="F300">
        <v>10553</v>
      </c>
      <c r="G300" t="s">
        <v>271</v>
      </c>
      <c r="H300" t="s">
        <v>49</v>
      </c>
      <c r="I300" t="s">
        <v>297</v>
      </c>
      <c r="J300" t="s">
        <v>296</v>
      </c>
      <c r="K300" t="s">
        <v>25</v>
      </c>
      <c r="L300" t="s">
        <v>26</v>
      </c>
      <c r="N300" s="1">
        <v>8</v>
      </c>
      <c r="O300" s="6">
        <v>9</v>
      </c>
      <c r="P300" s="7">
        <f t="shared" si="8"/>
        <v>72</v>
      </c>
      <c r="Q300">
        <v>3</v>
      </c>
      <c r="R300" s="4" t="s">
        <v>68</v>
      </c>
      <c r="S300" s="8">
        <v>0.08</v>
      </c>
      <c r="T300" s="7">
        <f t="shared" si="9"/>
        <v>66.239999999999995</v>
      </c>
    </row>
    <row r="301" spans="1:20" x14ac:dyDescent="0.3">
      <c r="A301">
        <v>300</v>
      </c>
      <c r="B301" s="4">
        <v>44833</v>
      </c>
      <c r="C301" s="5">
        <v>44833</v>
      </c>
      <c r="D301">
        <v>6678</v>
      </c>
      <c r="E301" t="s">
        <v>102</v>
      </c>
      <c r="F301">
        <v>17610</v>
      </c>
      <c r="G301" t="s">
        <v>227</v>
      </c>
      <c r="H301" t="s">
        <v>54</v>
      </c>
      <c r="I301" t="s">
        <v>297</v>
      </c>
      <c r="J301" t="s">
        <v>296</v>
      </c>
      <c r="K301" t="s">
        <v>30</v>
      </c>
      <c r="L301" t="s">
        <v>31</v>
      </c>
      <c r="N301" s="1">
        <v>12</v>
      </c>
      <c r="O301" s="6">
        <v>5</v>
      </c>
      <c r="P301" s="7">
        <f t="shared" si="8"/>
        <v>60</v>
      </c>
      <c r="Q301">
        <v>3</v>
      </c>
      <c r="R301" s="4" t="s">
        <v>68</v>
      </c>
      <c r="S301" s="8">
        <v>0.08</v>
      </c>
      <c r="T301" s="7">
        <f t="shared" si="9"/>
        <v>55.2</v>
      </c>
    </row>
    <row r="302" spans="1:20" x14ac:dyDescent="0.3">
      <c r="A302">
        <v>301</v>
      </c>
      <c r="B302" s="4">
        <v>44833</v>
      </c>
      <c r="C302" s="5">
        <v>44833</v>
      </c>
      <c r="D302">
        <v>6678</v>
      </c>
      <c r="E302" t="s">
        <v>102</v>
      </c>
      <c r="F302">
        <v>26510</v>
      </c>
      <c r="G302" t="s">
        <v>258</v>
      </c>
      <c r="H302" t="s">
        <v>51</v>
      </c>
      <c r="I302" t="s">
        <v>298</v>
      </c>
      <c r="J302" t="s">
        <v>296</v>
      </c>
      <c r="K302" t="s">
        <v>19</v>
      </c>
      <c r="L302" t="s">
        <v>20</v>
      </c>
      <c r="N302" s="1">
        <v>7.5</v>
      </c>
      <c r="O302" s="6">
        <v>9</v>
      </c>
      <c r="P302" s="7">
        <f t="shared" si="8"/>
        <v>67.5</v>
      </c>
      <c r="Q302">
        <v>0</v>
      </c>
      <c r="R302" s="4" t="s">
        <v>67</v>
      </c>
      <c r="S302" s="8">
        <v>0</v>
      </c>
      <c r="T302" s="7">
        <f t="shared" si="9"/>
        <v>67.5</v>
      </c>
    </row>
    <row r="303" spans="1:20" x14ac:dyDescent="0.3">
      <c r="A303">
        <v>302</v>
      </c>
      <c r="B303" s="4">
        <v>44833</v>
      </c>
      <c r="C303" s="5">
        <v>44833</v>
      </c>
      <c r="D303">
        <v>5400</v>
      </c>
      <c r="E303" t="s">
        <v>99</v>
      </c>
      <c r="F303">
        <v>12032</v>
      </c>
      <c r="G303" t="s">
        <v>208</v>
      </c>
      <c r="H303" t="s">
        <v>56</v>
      </c>
      <c r="I303" t="s">
        <v>297</v>
      </c>
      <c r="J303" t="s">
        <v>296</v>
      </c>
      <c r="K303" t="s">
        <v>30</v>
      </c>
      <c r="L303" t="s">
        <v>31</v>
      </c>
      <c r="N303" s="1">
        <v>12</v>
      </c>
      <c r="O303" s="6">
        <v>7</v>
      </c>
      <c r="P303" s="7">
        <f t="shared" si="8"/>
        <v>84</v>
      </c>
      <c r="Q303">
        <v>1</v>
      </c>
      <c r="R303" s="4" t="s">
        <v>70</v>
      </c>
      <c r="S303" s="8">
        <v>0.05</v>
      </c>
      <c r="T303" s="7">
        <f t="shared" si="9"/>
        <v>79.8</v>
      </c>
    </row>
    <row r="304" spans="1:20" x14ac:dyDescent="0.3">
      <c r="A304">
        <v>303</v>
      </c>
      <c r="B304" s="4">
        <v>44833</v>
      </c>
      <c r="C304" s="5">
        <v>44833</v>
      </c>
      <c r="D304">
        <v>6892</v>
      </c>
      <c r="E304" t="s">
        <v>93</v>
      </c>
      <c r="F304">
        <v>16595</v>
      </c>
      <c r="G304" t="s">
        <v>244</v>
      </c>
      <c r="H304" t="s">
        <v>56</v>
      </c>
      <c r="I304" t="s">
        <v>297</v>
      </c>
      <c r="J304" t="s">
        <v>296</v>
      </c>
      <c r="K304" t="s">
        <v>9</v>
      </c>
      <c r="L304" t="s">
        <v>10</v>
      </c>
      <c r="N304" s="1">
        <v>5.95</v>
      </c>
      <c r="O304" s="6">
        <v>7</v>
      </c>
      <c r="P304" s="7">
        <f t="shared" si="8"/>
        <v>41.65</v>
      </c>
      <c r="Q304">
        <v>3</v>
      </c>
      <c r="R304" s="4" t="s">
        <v>68</v>
      </c>
      <c r="S304" s="8">
        <v>0.08</v>
      </c>
      <c r="T304" s="7">
        <f t="shared" si="9"/>
        <v>38.317999999999998</v>
      </c>
    </row>
    <row r="305" spans="1:20" x14ac:dyDescent="0.3">
      <c r="A305">
        <v>304</v>
      </c>
      <c r="B305" s="4">
        <v>44834</v>
      </c>
      <c r="C305" s="5">
        <v>44834</v>
      </c>
      <c r="D305">
        <v>4350</v>
      </c>
      <c r="E305" t="s">
        <v>100</v>
      </c>
      <c r="F305">
        <v>28732</v>
      </c>
      <c r="G305" t="s">
        <v>174</v>
      </c>
      <c r="H305" t="s">
        <v>60</v>
      </c>
      <c r="I305" t="s">
        <v>297</v>
      </c>
      <c r="J305" t="s">
        <v>296</v>
      </c>
      <c r="K305" t="s">
        <v>28</v>
      </c>
      <c r="L305" t="s">
        <v>29</v>
      </c>
      <c r="N305" s="1">
        <v>12</v>
      </c>
      <c r="O305" s="6">
        <v>1</v>
      </c>
      <c r="P305" s="7">
        <f t="shared" si="8"/>
        <v>12</v>
      </c>
      <c r="Q305">
        <v>0</v>
      </c>
      <c r="R305" s="4" t="s">
        <v>67</v>
      </c>
      <c r="S305" s="8">
        <v>0</v>
      </c>
      <c r="T305" s="7">
        <f t="shared" si="9"/>
        <v>12</v>
      </c>
    </row>
    <row r="306" spans="1:20" x14ac:dyDescent="0.3">
      <c r="A306">
        <v>305</v>
      </c>
      <c r="B306" s="4">
        <v>44834</v>
      </c>
      <c r="C306" s="5">
        <v>44834</v>
      </c>
      <c r="D306">
        <v>6143</v>
      </c>
      <c r="E306" t="s">
        <v>104</v>
      </c>
      <c r="F306">
        <v>24926</v>
      </c>
      <c r="G306" t="s">
        <v>200</v>
      </c>
      <c r="H306" t="s">
        <v>48</v>
      </c>
      <c r="I306" t="s">
        <v>297</v>
      </c>
      <c r="J306" t="s">
        <v>296</v>
      </c>
      <c r="K306" t="s">
        <v>23</v>
      </c>
      <c r="L306" t="s">
        <v>24</v>
      </c>
      <c r="N306" s="1">
        <v>7.5</v>
      </c>
      <c r="O306" s="6">
        <v>4</v>
      </c>
      <c r="P306" s="7">
        <f t="shared" si="8"/>
        <v>30</v>
      </c>
      <c r="Q306">
        <v>2</v>
      </c>
      <c r="R306" s="4" t="s">
        <v>71</v>
      </c>
      <c r="S306" s="8">
        <v>0.06</v>
      </c>
      <c r="T306" s="7">
        <f t="shared" si="9"/>
        <v>28.2</v>
      </c>
    </row>
    <row r="307" spans="1:20" x14ac:dyDescent="0.3">
      <c r="A307">
        <v>306</v>
      </c>
      <c r="B307" s="4">
        <v>44834</v>
      </c>
      <c r="C307" s="5">
        <v>44834</v>
      </c>
      <c r="D307">
        <v>5400</v>
      </c>
      <c r="E307" t="s">
        <v>99</v>
      </c>
      <c r="F307">
        <v>25355</v>
      </c>
      <c r="G307" t="s">
        <v>182</v>
      </c>
      <c r="H307" t="s">
        <v>55</v>
      </c>
      <c r="I307" t="s">
        <v>297</v>
      </c>
      <c r="J307" t="s">
        <v>296</v>
      </c>
      <c r="K307" t="s">
        <v>32</v>
      </c>
      <c r="L307" t="s">
        <v>33</v>
      </c>
      <c r="N307" s="1">
        <v>12</v>
      </c>
      <c r="O307" s="6">
        <v>7</v>
      </c>
      <c r="P307" s="7">
        <f t="shared" si="8"/>
        <v>84</v>
      </c>
      <c r="Q307">
        <v>4</v>
      </c>
      <c r="R307" s="4" t="s">
        <v>66</v>
      </c>
      <c r="S307" s="8">
        <v>0.1</v>
      </c>
      <c r="T307" s="7">
        <f t="shared" si="9"/>
        <v>75.599999999999994</v>
      </c>
    </row>
    <row r="308" spans="1:20" x14ac:dyDescent="0.3">
      <c r="B308" s="4"/>
      <c r="D308" s="4"/>
      <c r="E308" s="4"/>
      <c r="Q308" s="4"/>
      <c r="R308" s="4"/>
      <c r="T308" s="7"/>
    </row>
    <row r="309" spans="1:20" x14ac:dyDescent="0.3">
      <c r="B309" s="4"/>
      <c r="D309" s="4"/>
      <c r="E309" s="4"/>
      <c r="Q309" s="4"/>
      <c r="R309" s="4"/>
    </row>
    <row r="310" spans="1:20" x14ac:dyDescent="0.3">
      <c r="B310" s="4"/>
      <c r="D310" s="4"/>
      <c r="E310" s="4"/>
      <c r="Q310" s="4"/>
      <c r="R310" s="4"/>
    </row>
    <row r="311" spans="1:20" x14ac:dyDescent="0.3">
      <c r="D311" s="4"/>
      <c r="E311" s="4"/>
      <c r="Q311" s="4"/>
      <c r="R311" s="4"/>
    </row>
    <row r="312" spans="1:20" x14ac:dyDescent="0.3">
      <c r="B312" s="4"/>
      <c r="D312" s="4"/>
      <c r="E312" s="4"/>
      <c r="Q312" s="4"/>
      <c r="R312" s="4"/>
    </row>
    <row r="313" spans="1:20" x14ac:dyDescent="0.3">
      <c r="D313" s="4"/>
      <c r="E313" s="4"/>
      <c r="Q313" s="4"/>
      <c r="R313" s="4"/>
    </row>
    <row r="314" spans="1:20" x14ac:dyDescent="0.3">
      <c r="D314" s="4"/>
      <c r="E314" s="4"/>
      <c r="Q314" s="4"/>
      <c r="R314" s="4"/>
    </row>
    <row r="315" spans="1:20" x14ac:dyDescent="0.3">
      <c r="B315" s="4"/>
      <c r="D315" s="4"/>
      <c r="E315" s="4"/>
      <c r="Q315" s="4"/>
      <c r="R315" s="4"/>
    </row>
    <row r="316" spans="1:20" x14ac:dyDescent="0.3">
      <c r="B316" s="4"/>
      <c r="D316" s="4"/>
      <c r="E316" s="4"/>
      <c r="Q316" s="4"/>
      <c r="R316" s="4"/>
    </row>
    <row r="317" spans="1:20" x14ac:dyDescent="0.3">
      <c r="B317" s="4"/>
      <c r="D317" s="4"/>
      <c r="E317" s="4"/>
      <c r="Q317" s="4"/>
      <c r="R317" s="4"/>
    </row>
    <row r="318" spans="1:20" x14ac:dyDescent="0.3">
      <c r="B318" s="4"/>
      <c r="D318" s="4"/>
      <c r="E318" s="4"/>
      <c r="Q318" s="4"/>
      <c r="R318" s="4"/>
    </row>
    <row r="319" spans="1:20" x14ac:dyDescent="0.3">
      <c r="B319" s="4"/>
      <c r="D319" s="4"/>
      <c r="E319" s="4"/>
      <c r="Q319" s="4"/>
      <c r="R319" s="4"/>
    </row>
    <row r="320" spans="1:20" x14ac:dyDescent="0.3">
      <c r="B320" s="4"/>
      <c r="D320" s="4"/>
      <c r="E320" s="4"/>
      <c r="Q320" s="4"/>
      <c r="R320" s="4"/>
    </row>
    <row r="321" spans="2:18" x14ac:dyDescent="0.3">
      <c r="B321" s="4"/>
      <c r="D321" s="4"/>
      <c r="E321" s="4"/>
      <c r="Q321" s="4"/>
      <c r="R321" s="4"/>
    </row>
    <row r="322" spans="2:18" x14ac:dyDescent="0.3">
      <c r="B322" s="4"/>
      <c r="D322" s="4"/>
      <c r="E322" s="4"/>
      <c r="Q322" s="4"/>
      <c r="R322" s="4"/>
    </row>
    <row r="323" spans="2:18" x14ac:dyDescent="0.3">
      <c r="B323" s="4"/>
      <c r="D323" s="4"/>
      <c r="E323" s="4"/>
      <c r="Q323" s="4"/>
      <c r="R323" s="4"/>
    </row>
    <row r="324" spans="2:18" x14ac:dyDescent="0.3">
      <c r="B324" s="4"/>
      <c r="D324" s="4"/>
      <c r="E324" s="4"/>
      <c r="Q324" s="4"/>
      <c r="R324" s="4"/>
    </row>
    <row r="325" spans="2:18" x14ac:dyDescent="0.3">
      <c r="B325" s="4"/>
      <c r="D325" s="4"/>
      <c r="E325" s="4"/>
      <c r="Q325" s="4"/>
      <c r="R325" s="4"/>
    </row>
    <row r="326" spans="2:18" x14ac:dyDescent="0.3">
      <c r="B326" s="4"/>
      <c r="D326" s="4"/>
      <c r="E326" s="4"/>
      <c r="Q326" s="4"/>
      <c r="R326" s="4"/>
    </row>
    <row r="327" spans="2:18" x14ac:dyDescent="0.3">
      <c r="B327" s="4"/>
      <c r="D327" s="4"/>
      <c r="E327" s="4"/>
      <c r="Q327" s="4"/>
      <c r="R327" s="4"/>
    </row>
    <row r="328" spans="2:18" x14ac:dyDescent="0.3">
      <c r="B328" s="4"/>
      <c r="D328" s="4"/>
      <c r="E328" s="4"/>
      <c r="Q328" s="4"/>
      <c r="R328" s="4"/>
    </row>
    <row r="329" spans="2:18" x14ac:dyDescent="0.3">
      <c r="B329" s="4"/>
      <c r="D329" s="4"/>
      <c r="E329" s="4"/>
      <c r="Q329" s="4"/>
      <c r="R329" s="4"/>
    </row>
    <row r="330" spans="2:18" x14ac:dyDescent="0.3">
      <c r="B330" s="4"/>
      <c r="D330" s="4"/>
      <c r="E330" s="4"/>
      <c r="Q330" s="4"/>
      <c r="R330" s="4"/>
    </row>
    <row r="331" spans="2:18" x14ac:dyDescent="0.3">
      <c r="B331" s="4"/>
      <c r="D331" s="4"/>
      <c r="E331" s="4"/>
      <c r="Q331" s="4"/>
      <c r="R331" s="4"/>
    </row>
    <row r="332" spans="2:18" x14ac:dyDescent="0.3">
      <c r="B332" s="4"/>
      <c r="D332" s="4"/>
      <c r="E332" s="4"/>
      <c r="Q332" s="4"/>
      <c r="R332" s="4"/>
    </row>
    <row r="333" spans="2:18" x14ac:dyDescent="0.3">
      <c r="B333" s="4"/>
      <c r="D333" s="4"/>
      <c r="E333" s="4"/>
      <c r="Q333" s="4"/>
      <c r="R333" s="4"/>
    </row>
    <row r="334" spans="2:18" x14ac:dyDescent="0.3">
      <c r="B334" s="4"/>
      <c r="D334" s="4"/>
      <c r="E334" s="4"/>
      <c r="Q334" s="4"/>
      <c r="R334" s="4"/>
    </row>
    <row r="335" spans="2:18" x14ac:dyDescent="0.3">
      <c r="B335" s="4"/>
      <c r="D335" s="4"/>
      <c r="E335" s="4"/>
      <c r="Q335" s="4"/>
      <c r="R335" s="4"/>
    </row>
    <row r="336" spans="2:18" x14ac:dyDescent="0.3">
      <c r="B336" s="4"/>
      <c r="D336" s="4"/>
      <c r="E336" s="4"/>
      <c r="Q336" s="4"/>
      <c r="R336" s="4"/>
    </row>
    <row r="337" spans="2:18" x14ac:dyDescent="0.3">
      <c r="B337" s="4"/>
      <c r="D337" s="4"/>
      <c r="E337" s="4"/>
      <c r="Q337" s="4"/>
      <c r="R337" s="4"/>
    </row>
    <row r="338" spans="2:18" x14ac:dyDescent="0.3">
      <c r="B338" s="4"/>
      <c r="D338" s="4"/>
      <c r="E338" s="4"/>
      <c r="Q338" s="4"/>
      <c r="R338" s="4"/>
    </row>
    <row r="339" spans="2:18" x14ac:dyDescent="0.3">
      <c r="B339" s="4"/>
      <c r="D339" s="4"/>
      <c r="E339" s="4"/>
      <c r="Q339" s="4"/>
      <c r="R339" s="4"/>
    </row>
    <row r="340" spans="2:18" x14ac:dyDescent="0.3">
      <c r="B340" s="4"/>
      <c r="D340" s="4"/>
      <c r="E340" s="4"/>
      <c r="Q340" s="4"/>
      <c r="R340" s="4"/>
    </row>
    <row r="341" spans="2:18" x14ac:dyDescent="0.3">
      <c r="B341" s="4"/>
      <c r="D341" s="4"/>
      <c r="E341" s="4"/>
      <c r="Q341" s="4"/>
      <c r="R341" s="4"/>
    </row>
    <row r="342" spans="2:18" x14ac:dyDescent="0.3">
      <c r="B342" s="4"/>
      <c r="D342" s="4"/>
      <c r="E342" s="4"/>
      <c r="Q342" s="4"/>
      <c r="R342" s="4"/>
    </row>
    <row r="343" spans="2:18" x14ac:dyDescent="0.3">
      <c r="B343" s="4"/>
      <c r="D343" s="4"/>
      <c r="E343" s="4"/>
      <c r="Q343" s="4"/>
      <c r="R343" s="4"/>
    </row>
    <row r="344" spans="2:18" x14ac:dyDescent="0.3">
      <c r="B344" s="4"/>
      <c r="D344" s="4"/>
      <c r="E344" s="4"/>
      <c r="Q344" s="4"/>
      <c r="R344" s="4"/>
    </row>
    <row r="345" spans="2:18" x14ac:dyDescent="0.3">
      <c r="B345" s="4"/>
      <c r="D345" s="4"/>
      <c r="E345" s="4"/>
      <c r="Q345" s="4"/>
      <c r="R345" s="4"/>
    </row>
    <row r="346" spans="2:18" x14ac:dyDescent="0.3">
      <c r="B346" s="4"/>
      <c r="D346" s="4"/>
      <c r="E346" s="4"/>
      <c r="Q346" s="4"/>
      <c r="R346" s="4"/>
    </row>
    <row r="347" spans="2:18" x14ac:dyDescent="0.3">
      <c r="B347" s="4"/>
      <c r="D347" s="4"/>
      <c r="E347" s="4"/>
      <c r="Q347" s="4"/>
      <c r="R347" s="4"/>
    </row>
    <row r="348" spans="2:18" x14ac:dyDescent="0.3">
      <c r="B348" s="4"/>
      <c r="D348" s="4"/>
      <c r="E348" s="4"/>
      <c r="Q348" s="4"/>
      <c r="R348" s="4"/>
    </row>
    <row r="349" spans="2:18" x14ac:dyDescent="0.3">
      <c r="B349" s="4"/>
      <c r="D349" s="4"/>
      <c r="E349" s="4"/>
      <c r="Q349" s="4"/>
      <c r="R349" s="4"/>
    </row>
    <row r="350" spans="2:18" x14ac:dyDescent="0.3">
      <c r="B350" s="4"/>
      <c r="D350" s="4"/>
      <c r="E350" s="4"/>
      <c r="Q350" s="4"/>
      <c r="R350" s="4"/>
    </row>
    <row r="351" spans="2:18" x14ac:dyDescent="0.3">
      <c r="B351" s="4"/>
      <c r="D351" s="4"/>
      <c r="E351" s="4"/>
      <c r="Q351" s="4"/>
      <c r="R351" s="4"/>
    </row>
    <row r="352" spans="2:18" x14ac:dyDescent="0.3">
      <c r="B352" s="4"/>
      <c r="D352" s="4"/>
      <c r="E352" s="4"/>
      <c r="Q352" s="4"/>
      <c r="R352" s="4"/>
    </row>
    <row r="353" spans="2:18" x14ac:dyDescent="0.3">
      <c r="B353" s="4"/>
      <c r="D353" s="4"/>
      <c r="E353" s="4"/>
      <c r="Q353" s="4"/>
      <c r="R353" s="4"/>
    </row>
    <row r="354" spans="2:18" x14ac:dyDescent="0.3">
      <c r="B354" s="4"/>
      <c r="D354" s="4"/>
      <c r="E354" s="4"/>
      <c r="Q354" s="4"/>
      <c r="R354" s="4"/>
    </row>
    <row r="355" spans="2:18" x14ac:dyDescent="0.3">
      <c r="B355" s="4"/>
      <c r="D355" s="4"/>
      <c r="E355" s="4"/>
      <c r="Q355" s="4"/>
      <c r="R355" s="4"/>
    </row>
    <row r="356" spans="2:18" x14ac:dyDescent="0.3">
      <c r="B356" s="4"/>
      <c r="D356" s="4"/>
      <c r="E356" s="4"/>
      <c r="Q356" s="4"/>
      <c r="R356" s="4"/>
    </row>
    <row r="357" spans="2:18" x14ac:dyDescent="0.3">
      <c r="B357" s="4"/>
      <c r="D357" s="4"/>
      <c r="E357" s="4"/>
      <c r="Q357" s="4"/>
      <c r="R357" s="4"/>
    </row>
    <row r="358" spans="2:18" x14ac:dyDescent="0.3">
      <c r="B358" s="4"/>
      <c r="D358" s="4"/>
      <c r="E358" s="4"/>
      <c r="Q358" s="4"/>
      <c r="R358" s="4"/>
    </row>
    <row r="359" spans="2:18" x14ac:dyDescent="0.3">
      <c r="B359" s="4"/>
      <c r="D359" s="4"/>
      <c r="E359" s="4"/>
      <c r="Q359" s="4"/>
      <c r="R359" s="4"/>
    </row>
    <row r="360" spans="2:18" x14ac:dyDescent="0.3">
      <c r="B360" s="4"/>
      <c r="D360" s="4"/>
      <c r="E360" s="4"/>
      <c r="Q360" s="4"/>
      <c r="R360" s="4"/>
    </row>
    <row r="361" spans="2:18" x14ac:dyDescent="0.3">
      <c r="B361" s="4"/>
      <c r="D361" s="4"/>
      <c r="E361" s="4"/>
      <c r="Q361" s="4"/>
      <c r="R361" s="4"/>
    </row>
    <row r="362" spans="2:18" x14ac:dyDescent="0.3">
      <c r="B362" s="4"/>
      <c r="D362" s="4"/>
      <c r="E362" s="4"/>
      <c r="Q362" s="4"/>
      <c r="R362" s="4"/>
    </row>
    <row r="363" spans="2:18" x14ac:dyDescent="0.3">
      <c r="B363" s="4"/>
      <c r="D363" s="4"/>
      <c r="E363" s="4"/>
      <c r="Q363" s="4"/>
      <c r="R363" s="4"/>
    </row>
    <row r="364" spans="2:18" x14ac:dyDescent="0.3">
      <c r="B364" s="4"/>
      <c r="D364" s="4"/>
      <c r="E364" s="4"/>
      <c r="Q364" s="4"/>
      <c r="R364" s="4"/>
    </row>
    <row r="365" spans="2:18" x14ac:dyDescent="0.3">
      <c r="B365" s="4"/>
      <c r="D365" s="4"/>
      <c r="E365" s="4"/>
      <c r="Q365" s="4"/>
      <c r="R365" s="4"/>
    </row>
    <row r="366" spans="2:18" x14ac:dyDescent="0.3">
      <c r="B366" s="4"/>
      <c r="D366" s="4"/>
      <c r="E366" s="4"/>
      <c r="Q366" s="4"/>
      <c r="R366" s="4"/>
    </row>
    <row r="367" spans="2:18" x14ac:dyDescent="0.3">
      <c r="B367" s="4"/>
      <c r="D367" s="4"/>
      <c r="E367" s="4"/>
      <c r="Q367" s="4"/>
      <c r="R367" s="4"/>
    </row>
    <row r="368" spans="2:18" x14ac:dyDescent="0.3">
      <c r="B368" s="4"/>
      <c r="D368" s="4"/>
      <c r="E368" s="4"/>
      <c r="Q368" s="4"/>
      <c r="R368" s="4"/>
    </row>
    <row r="369" spans="2:18" x14ac:dyDescent="0.3">
      <c r="B369" s="4"/>
      <c r="D369" s="4"/>
      <c r="E369" s="4"/>
      <c r="Q369" s="4"/>
      <c r="R369" s="4"/>
    </row>
    <row r="370" spans="2:18" x14ac:dyDescent="0.3">
      <c r="B370" s="4"/>
      <c r="D370" s="4"/>
      <c r="E370" s="4"/>
      <c r="Q370" s="4"/>
      <c r="R370" s="4"/>
    </row>
    <row r="371" spans="2:18" x14ac:dyDescent="0.3">
      <c r="B371" s="4"/>
      <c r="D371" s="4"/>
      <c r="E371" s="4"/>
      <c r="Q371" s="4"/>
      <c r="R371" s="4"/>
    </row>
    <row r="372" spans="2:18" x14ac:dyDescent="0.3">
      <c r="B372" s="4"/>
      <c r="D372" s="4"/>
      <c r="E372" s="4"/>
      <c r="Q372" s="4"/>
      <c r="R372" s="4"/>
    </row>
    <row r="373" spans="2:18" x14ac:dyDescent="0.3">
      <c r="B373" s="4"/>
      <c r="D373" s="4"/>
      <c r="E373" s="4"/>
      <c r="Q373" s="4"/>
      <c r="R373" s="4"/>
    </row>
    <row r="374" spans="2:18" x14ac:dyDescent="0.3">
      <c r="B374" s="4"/>
      <c r="D374" s="4"/>
      <c r="E374" s="4"/>
      <c r="Q374" s="4"/>
      <c r="R374" s="4"/>
    </row>
    <row r="375" spans="2:18" x14ac:dyDescent="0.3">
      <c r="B375" s="4"/>
      <c r="D375" s="4"/>
      <c r="E375" s="4"/>
      <c r="Q375" s="4"/>
      <c r="R375" s="4"/>
    </row>
    <row r="376" spans="2:18" x14ac:dyDescent="0.3">
      <c r="B376" s="4"/>
      <c r="D376" s="4"/>
      <c r="E376" s="4"/>
      <c r="Q376" s="4"/>
      <c r="R376" s="4"/>
    </row>
    <row r="377" spans="2:18" x14ac:dyDescent="0.3">
      <c r="B377" s="4"/>
      <c r="D377" s="4"/>
      <c r="E377" s="4"/>
      <c r="Q377" s="4"/>
      <c r="R377" s="4"/>
    </row>
    <row r="378" spans="2:18" x14ac:dyDescent="0.3">
      <c r="B378" s="4"/>
      <c r="D378" s="4"/>
      <c r="E378" s="4"/>
      <c r="Q378" s="4"/>
      <c r="R378" s="4"/>
    </row>
    <row r="379" spans="2:18" x14ac:dyDescent="0.3">
      <c r="B379" s="4"/>
      <c r="D379" s="4"/>
      <c r="E379" s="4"/>
      <c r="Q379" s="4"/>
      <c r="R379" s="4"/>
    </row>
    <row r="380" spans="2:18" x14ac:dyDescent="0.3">
      <c r="B380" s="4"/>
      <c r="D380" s="4"/>
      <c r="E380" s="4"/>
      <c r="Q380" s="4"/>
      <c r="R380" s="4"/>
    </row>
    <row r="381" spans="2:18" x14ac:dyDescent="0.3">
      <c r="B381" s="4"/>
      <c r="D381" s="4"/>
      <c r="E381" s="4"/>
      <c r="Q381" s="4"/>
      <c r="R381" s="4"/>
    </row>
    <row r="382" spans="2:18" x14ac:dyDescent="0.3">
      <c r="B382" s="4"/>
      <c r="D382" s="4"/>
      <c r="E382" s="4"/>
      <c r="Q382" s="4"/>
      <c r="R382" s="4"/>
    </row>
    <row r="383" spans="2:18" x14ac:dyDescent="0.3">
      <c r="B383" s="4"/>
      <c r="D383" s="4"/>
      <c r="E383" s="4"/>
      <c r="Q383" s="4"/>
      <c r="R383" s="4"/>
    </row>
    <row r="384" spans="2:18" x14ac:dyDescent="0.3">
      <c r="B384" s="4"/>
      <c r="D384" s="4"/>
      <c r="E384" s="4"/>
      <c r="Q384" s="4"/>
      <c r="R384" s="4"/>
    </row>
    <row r="385" spans="2:18" x14ac:dyDescent="0.3">
      <c r="B385" s="4"/>
      <c r="D385" s="4"/>
      <c r="E385" s="4"/>
      <c r="Q385" s="4"/>
      <c r="R385" s="4"/>
    </row>
    <row r="386" spans="2:18" x14ac:dyDescent="0.3">
      <c r="B386" s="4"/>
      <c r="D386" s="4"/>
      <c r="E386" s="4"/>
      <c r="Q386" s="4"/>
      <c r="R386" s="4"/>
    </row>
    <row r="387" spans="2:18" x14ac:dyDescent="0.3">
      <c r="B387" s="4"/>
      <c r="D387" s="4"/>
      <c r="E387" s="4"/>
      <c r="Q387" s="4"/>
      <c r="R387" s="4"/>
    </row>
    <row r="388" spans="2:18" x14ac:dyDescent="0.3">
      <c r="B388" s="4"/>
      <c r="D388" s="4"/>
      <c r="E388" s="4"/>
      <c r="Q388" s="4"/>
      <c r="R388" s="4"/>
    </row>
    <row r="389" spans="2:18" x14ac:dyDescent="0.3">
      <c r="B389" s="4"/>
      <c r="D389" s="4"/>
      <c r="E389" s="4"/>
      <c r="Q389" s="4"/>
      <c r="R389" s="4"/>
    </row>
    <row r="390" spans="2:18" x14ac:dyDescent="0.3">
      <c r="B390" s="4"/>
      <c r="D390" s="4"/>
      <c r="E390" s="4"/>
      <c r="Q390" s="4"/>
      <c r="R390" s="4"/>
    </row>
    <row r="391" spans="2:18" x14ac:dyDescent="0.3">
      <c r="B391" s="4"/>
      <c r="D391" s="4"/>
      <c r="E391" s="4"/>
      <c r="Q391" s="4"/>
      <c r="R391" s="4"/>
    </row>
    <row r="392" spans="2:18" x14ac:dyDescent="0.3">
      <c r="B392" s="4"/>
      <c r="D392" s="4"/>
      <c r="E392" s="4"/>
      <c r="Q392" s="4"/>
      <c r="R392" s="4"/>
    </row>
    <row r="393" spans="2:18" x14ac:dyDescent="0.3">
      <c r="B393" s="4"/>
      <c r="D393" s="4"/>
      <c r="E393" s="4"/>
      <c r="Q393" s="4"/>
      <c r="R393" s="4"/>
    </row>
    <row r="394" spans="2:18" x14ac:dyDescent="0.3">
      <c r="B394" s="4"/>
      <c r="D394" s="4"/>
      <c r="E394" s="4"/>
      <c r="Q394" s="4"/>
      <c r="R394" s="4"/>
    </row>
    <row r="395" spans="2:18" x14ac:dyDescent="0.3">
      <c r="B395" s="4"/>
      <c r="D395" s="4"/>
      <c r="E395" s="4"/>
      <c r="Q395" s="4"/>
      <c r="R395" s="4"/>
    </row>
    <row r="396" spans="2:18" x14ac:dyDescent="0.3">
      <c r="B396" s="4"/>
      <c r="D396" s="4"/>
      <c r="E396" s="4"/>
      <c r="Q396" s="4"/>
      <c r="R396" s="4"/>
    </row>
    <row r="397" spans="2:18" x14ac:dyDescent="0.3">
      <c r="B397" s="4"/>
      <c r="D397" s="4"/>
      <c r="E397" s="4"/>
      <c r="Q397" s="4"/>
      <c r="R397" s="4"/>
    </row>
    <row r="398" spans="2:18" x14ac:dyDescent="0.3">
      <c r="B398" s="4"/>
      <c r="D398" s="4"/>
      <c r="E398" s="4"/>
      <c r="Q398" s="4"/>
      <c r="R398" s="4"/>
    </row>
    <row r="399" spans="2:18" x14ac:dyDescent="0.3">
      <c r="B399" s="4"/>
      <c r="D399" s="4"/>
      <c r="E399" s="4"/>
      <c r="Q399" s="4"/>
      <c r="R399" s="4"/>
    </row>
    <row r="400" spans="2:18" x14ac:dyDescent="0.3">
      <c r="B400" s="4"/>
      <c r="D400" s="4"/>
      <c r="E400" s="4"/>
      <c r="Q400" s="4"/>
      <c r="R400" s="4"/>
    </row>
    <row r="401" spans="2:18" x14ac:dyDescent="0.3">
      <c r="B401" s="4"/>
      <c r="D401" s="4"/>
      <c r="E401" s="4"/>
      <c r="Q401" s="4"/>
      <c r="R401" s="4"/>
    </row>
    <row r="402" spans="2:18" x14ac:dyDescent="0.3">
      <c r="B402" s="4"/>
      <c r="D402" s="4"/>
      <c r="E402" s="4"/>
      <c r="Q402" s="4"/>
      <c r="R402" s="4"/>
    </row>
    <row r="403" spans="2:18" x14ac:dyDescent="0.3">
      <c r="B403" s="4"/>
      <c r="D403" s="4"/>
      <c r="E403" s="4"/>
      <c r="Q403" s="4"/>
      <c r="R403" s="4"/>
    </row>
    <row r="404" spans="2:18" x14ac:dyDescent="0.3">
      <c r="B404" s="4"/>
      <c r="D404" s="4"/>
      <c r="E404" s="4"/>
      <c r="Q404" s="4"/>
      <c r="R404" s="4"/>
    </row>
    <row r="405" spans="2:18" x14ac:dyDescent="0.3">
      <c r="B405" s="4"/>
      <c r="D405" s="4"/>
      <c r="E405" s="4"/>
      <c r="Q405" s="4"/>
      <c r="R405" s="4"/>
    </row>
    <row r="406" spans="2:18" x14ac:dyDescent="0.3">
      <c r="B406" s="4"/>
      <c r="D406" s="4"/>
      <c r="E406" s="4"/>
      <c r="Q406" s="4"/>
      <c r="R406" s="4"/>
    </row>
    <row r="407" spans="2:18" x14ac:dyDescent="0.3">
      <c r="B407" s="4"/>
      <c r="D407" s="4"/>
      <c r="E407" s="4"/>
      <c r="Q407" s="4"/>
      <c r="R407" s="4"/>
    </row>
    <row r="408" spans="2:18" x14ac:dyDescent="0.3">
      <c r="B408" s="4"/>
      <c r="D408" s="4"/>
      <c r="E408" s="4"/>
      <c r="Q408" s="4"/>
      <c r="R408" s="4"/>
    </row>
    <row r="409" spans="2:18" x14ac:dyDescent="0.3">
      <c r="B409" s="4"/>
      <c r="D409" s="4"/>
      <c r="E409" s="4"/>
      <c r="Q409" s="4"/>
      <c r="R409" s="4"/>
    </row>
    <row r="410" spans="2:18" x14ac:dyDescent="0.3">
      <c r="B410" s="4"/>
      <c r="D410" s="4"/>
      <c r="E410" s="4"/>
      <c r="Q410" s="4"/>
      <c r="R410" s="4"/>
    </row>
    <row r="411" spans="2:18" x14ac:dyDescent="0.3">
      <c r="B411" s="4"/>
      <c r="D411" s="4"/>
      <c r="E411" s="4"/>
      <c r="Q411" s="4"/>
      <c r="R411" s="4"/>
    </row>
    <row r="412" spans="2:18" x14ac:dyDescent="0.3">
      <c r="B412" s="4"/>
      <c r="D412" s="4"/>
      <c r="E412" s="4"/>
      <c r="Q412" s="4"/>
      <c r="R412" s="4"/>
    </row>
    <row r="413" spans="2:18" x14ac:dyDescent="0.3">
      <c r="B413" s="4"/>
      <c r="D413" s="4"/>
      <c r="E413" s="4"/>
      <c r="Q413" s="4"/>
      <c r="R413" s="4"/>
    </row>
    <row r="414" spans="2:18" x14ac:dyDescent="0.3">
      <c r="B414" s="4"/>
      <c r="D414" s="4"/>
      <c r="E414" s="4"/>
      <c r="Q414" s="4"/>
      <c r="R414" s="4"/>
    </row>
    <row r="415" spans="2:18" x14ac:dyDescent="0.3">
      <c r="B415" s="4"/>
      <c r="D415" s="4"/>
      <c r="E415" s="4"/>
      <c r="Q415" s="4"/>
      <c r="R415" s="4"/>
    </row>
    <row r="416" spans="2:18" x14ac:dyDescent="0.3">
      <c r="B416" s="4"/>
      <c r="D416" s="4"/>
      <c r="E416" s="4"/>
      <c r="Q416" s="4"/>
      <c r="R416" s="4"/>
    </row>
    <row r="417" spans="2:18" x14ac:dyDescent="0.3">
      <c r="B417" s="4"/>
      <c r="D417" s="4"/>
      <c r="E417" s="4"/>
      <c r="Q417" s="4"/>
      <c r="R417" s="4"/>
    </row>
    <row r="418" spans="2:18" x14ac:dyDescent="0.3">
      <c r="B418" s="4"/>
      <c r="D418" s="4"/>
      <c r="E418" s="4"/>
      <c r="Q418" s="4"/>
      <c r="R418" s="4"/>
    </row>
    <row r="419" spans="2:18" x14ac:dyDescent="0.3">
      <c r="B419" s="4"/>
      <c r="D419" s="4"/>
      <c r="E419" s="4"/>
      <c r="Q419" s="4"/>
      <c r="R419" s="4"/>
    </row>
    <row r="420" spans="2:18" x14ac:dyDescent="0.3">
      <c r="B420" s="4"/>
      <c r="D420" s="4"/>
      <c r="E420" s="4"/>
      <c r="Q420" s="4"/>
      <c r="R420" s="4"/>
    </row>
    <row r="421" spans="2:18" x14ac:dyDescent="0.3">
      <c r="B421" s="4"/>
      <c r="D421" s="4"/>
      <c r="E421" s="4"/>
      <c r="Q421" s="4"/>
      <c r="R421" s="4"/>
    </row>
    <row r="422" spans="2:18" x14ac:dyDescent="0.3">
      <c r="B422" s="4"/>
      <c r="D422" s="4"/>
      <c r="E422" s="4"/>
      <c r="Q422" s="4"/>
      <c r="R422" s="4"/>
    </row>
    <row r="423" spans="2:18" x14ac:dyDescent="0.3">
      <c r="B423" s="4"/>
      <c r="D423" s="4"/>
      <c r="E423" s="4"/>
      <c r="Q423" s="4"/>
      <c r="R423" s="4"/>
    </row>
    <row r="424" spans="2:18" x14ac:dyDescent="0.3">
      <c r="B424" s="4"/>
      <c r="D424" s="4"/>
      <c r="E424" s="4"/>
      <c r="Q424" s="4"/>
      <c r="R424" s="4"/>
    </row>
    <row r="425" spans="2:18" x14ac:dyDescent="0.3">
      <c r="B425" s="4"/>
      <c r="D425" s="4"/>
      <c r="E425" s="4"/>
      <c r="Q425" s="4"/>
      <c r="R425" s="4"/>
    </row>
    <row r="426" spans="2:18" x14ac:dyDescent="0.3">
      <c r="B426" s="4"/>
      <c r="D426" s="4"/>
      <c r="E426" s="4"/>
      <c r="Q426" s="4"/>
      <c r="R426" s="4"/>
    </row>
    <row r="427" spans="2:18" x14ac:dyDescent="0.3">
      <c r="B427" s="4"/>
      <c r="D427" s="4"/>
      <c r="E427" s="4"/>
      <c r="Q427" s="4"/>
      <c r="R427" s="4"/>
    </row>
    <row r="428" spans="2:18" x14ac:dyDescent="0.3">
      <c r="B428" s="4"/>
      <c r="D428" s="4"/>
      <c r="E428" s="4"/>
      <c r="Q428" s="4"/>
      <c r="R428" s="4"/>
    </row>
    <row r="429" spans="2:18" x14ac:dyDescent="0.3">
      <c r="B429" s="4"/>
      <c r="D429" s="4"/>
      <c r="E429" s="4"/>
      <c r="Q429" s="4"/>
      <c r="R429" s="4"/>
    </row>
    <row r="430" spans="2:18" x14ac:dyDescent="0.3">
      <c r="B430" s="4"/>
      <c r="D430" s="4"/>
      <c r="E430" s="4"/>
      <c r="Q430" s="4"/>
      <c r="R430" s="4"/>
    </row>
    <row r="431" spans="2:18" x14ac:dyDescent="0.3">
      <c r="B431" s="4"/>
      <c r="D431" s="4"/>
      <c r="E431" s="4"/>
      <c r="Q431" s="4"/>
      <c r="R431" s="4"/>
    </row>
    <row r="432" spans="2:18" x14ac:dyDescent="0.3">
      <c r="B432" s="4"/>
      <c r="D432" s="4"/>
      <c r="E432" s="4"/>
      <c r="Q432" s="4"/>
      <c r="R432" s="4"/>
    </row>
    <row r="433" spans="2:18" x14ac:dyDescent="0.3">
      <c r="B433" s="4"/>
      <c r="D433" s="4"/>
      <c r="E433" s="4"/>
      <c r="Q433" s="4"/>
      <c r="R433" s="4"/>
    </row>
    <row r="434" spans="2:18" x14ac:dyDescent="0.3">
      <c r="B434" s="4"/>
      <c r="D434" s="4"/>
      <c r="E434" s="4"/>
      <c r="Q434" s="4"/>
      <c r="R434" s="4"/>
    </row>
    <row r="435" spans="2:18" x14ac:dyDescent="0.3">
      <c r="B435" s="4"/>
      <c r="D435" s="4"/>
      <c r="E435" s="4"/>
      <c r="Q435" s="4"/>
      <c r="R435" s="4"/>
    </row>
    <row r="436" spans="2:18" x14ac:dyDescent="0.3">
      <c r="B436" s="4"/>
      <c r="D436" s="4"/>
      <c r="E436" s="4"/>
      <c r="Q436" s="4"/>
      <c r="R436" s="4"/>
    </row>
    <row r="437" spans="2:18" x14ac:dyDescent="0.3">
      <c r="B437" s="4"/>
      <c r="D437" s="4"/>
      <c r="E437" s="4"/>
      <c r="Q437" s="4"/>
      <c r="R437" s="4"/>
    </row>
    <row r="438" spans="2:18" x14ac:dyDescent="0.3">
      <c r="B438" s="4"/>
      <c r="D438" s="4"/>
      <c r="E438" s="4"/>
      <c r="Q438" s="4"/>
      <c r="R438" s="4"/>
    </row>
    <row r="439" spans="2:18" x14ac:dyDescent="0.3">
      <c r="B439" s="4"/>
      <c r="D439" s="4"/>
      <c r="E439" s="4"/>
      <c r="Q439" s="4"/>
      <c r="R439" s="4"/>
    </row>
    <row r="440" spans="2:18" x14ac:dyDescent="0.3">
      <c r="B440" s="4"/>
      <c r="D440" s="4"/>
      <c r="E440" s="4"/>
      <c r="Q440" s="4"/>
      <c r="R440" s="4"/>
    </row>
    <row r="441" spans="2:18" x14ac:dyDescent="0.3">
      <c r="B441" s="4"/>
      <c r="D441" s="4"/>
      <c r="E441" s="4"/>
      <c r="Q441" s="4"/>
      <c r="R441" s="4"/>
    </row>
    <row r="442" spans="2:18" x14ac:dyDescent="0.3">
      <c r="B442" s="4"/>
      <c r="D442" s="4"/>
      <c r="E442" s="4"/>
      <c r="Q442" s="4"/>
      <c r="R442" s="4"/>
    </row>
    <row r="443" spans="2:18" x14ac:dyDescent="0.3">
      <c r="B443" s="4"/>
      <c r="D443" s="4"/>
      <c r="E443" s="4"/>
      <c r="Q443" s="4"/>
      <c r="R443" s="4"/>
    </row>
    <row r="444" spans="2:18" x14ac:dyDescent="0.3">
      <c r="B444" s="4"/>
      <c r="D444" s="4"/>
      <c r="E444" s="4"/>
      <c r="Q444" s="4"/>
      <c r="R444" s="4"/>
    </row>
    <row r="445" spans="2:18" x14ac:dyDescent="0.3">
      <c r="B445" s="4"/>
      <c r="D445" s="4"/>
      <c r="E445" s="4"/>
      <c r="Q445" s="4"/>
      <c r="R445" s="4"/>
    </row>
    <row r="446" spans="2:18" x14ac:dyDescent="0.3">
      <c r="B446" s="4"/>
      <c r="D446" s="4"/>
      <c r="E446" s="4"/>
      <c r="Q446" s="4"/>
      <c r="R446" s="4"/>
    </row>
    <row r="447" spans="2:18" x14ac:dyDescent="0.3">
      <c r="B447" s="4"/>
      <c r="D447" s="4"/>
      <c r="E447" s="4"/>
      <c r="Q447" s="4"/>
      <c r="R447" s="4"/>
    </row>
    <row r="448" spans="2:18" x14ac:dyDescent="0.3">
      <c r="B448" s="4"/>
      <c r="D448" s="4"/>
      <c r="E448" s="4"/>
      <c r="Q448" s="4"/>
      <c r="R448" s="4"/>
    </row>
    <row r="449" spans="2:18" x14ac:dyDescent="0.3">
      <c r="B449" s="4"/>
      <c r="D449" s="4"/>
      <c r="E449" s="4"/>
      <c r="Q449" s="4"/>
      <c r="R449" s="4"/>
    </row>
    <row r="450" spans="2:18" x14ac:dyDescent="0.3">
      <c r="B450" s="4"/>
      <c r="D450" s="4"/>
      <c r="E450" s="4"/>
      <c r="Q450" s="4"/>
      <c r="R450" s="4"/>
    </row>
    <row r="451" spans="2:18" x14ac:dyDescent="0.3">
      <c r="B451" s="4"/>
      <c r="D451" s="4"/>
      <c r="E451" s="4"/>
      <c r="Q451" s="4"/>
      <c r="R451" s="4"/>
    </row>
    <row r="452" spans="2:18" x14ac:dyDescent="0.3">
      <c r="B452" s="4"/>
      <c r="D452" s="4"/>
      <c r="E452" s="4"/>
      <c r="Q452" s="4"/>
      <c r="R452" s="4"/>
    </row>
    <row r="453" spans="2:18" x14ac:dyDescent="0.3">
      <c r="B453" s="4"/>
      <c r="D453" s="4"/>
      <c r="E453" s="4"/>
      <c r="Q453" s="4"/>
      <c r="R453" s="4"/>
    </row>
    <row r="454" spans="2:18" x14ac:dyDescent="0.3">
      <c r="B454" s="4"/>
      <c r="D454" s="4"/>
      <c r="E454" s="4"/>
      <c r="Q454" s="4"/>
      <c r="R454" s="4"/>
    </row>
    <row r="455" spans="2:18" x14ac:dyDescent="0.3">
      <c r="B455" s="4"/>
      <c r="D455" s="4"/>
      <c r="E455" s="4"/>
      <c r="Q455" s="4"/>
      <c r="R455" s="4"/>
    </row>
    <row r="456" spans="2:18" x14ac:dyDescent="0.3">
      <c r="B456" s="4"/>
      <c r="D456" s="4"/>
      <c r="E456" s="4"/>
      <c r="Q456" s="4"/>
      <c r="R456" s="4"/>
    </row>
    <row r="457" spans="2:18" x14ac:dyDescent="0.3">
      <c r="B457" s="4"/>
      <c r="D457" s="4"/>
      <c r="E457" s="4"/>
      <c r="Q457" s="4"/>
      <c r="R457" s="4"/>
    </row>
    <row r="458" spans="2:18" x14ac:dyDescent="0.3">
      <c r="B458" s="4"/>
      <c r="D458" s="4"/>
      <c r="E458" s="4"/>
      <c r="Q458" s="4"/>
      <c r="R458" s="4"/>
    </row>
    <row r="459" spans="2:18" x14ac:dyDescent="0.3">
      <c r="B459" s="4"/>
      <c r="D459" s="4"/>
      <c r="E459" s="4"/>
      <c r="Q459" s="4"/>
      <c r="R459" s="4"/>
    </row>
    <row r="460" spans="2:18" x14ac:dyDescent="0.3">
      <c r="B460" s="4"/>
      <c r="D460" s="4"/>
      <c r="E460" s="4"/>
      <c r="Q460" s="4"/>
      <c r="R460" s="4"/>
    </row>
    <row r="461" spans="2:18" x14ac:dyDescent="0.3">
      <c r="B461" s="4"/>
      <c r="D461" s="4"/>
      <c r="E461" s="4"/>
      <c r="Q461" s="4"/>
      <c r="R461" s="4"/>
    </row>
    <row r="462" spans="2:18" x14ac:dyDescent="0.3">
      <c r="B462" s="4"/>
      <c r="D462" s="4"/>
      <c r="E462" s="4"/>
      <c r="Q462" s="4"/>
      <c r="R462" s="4"/>
    </row>
    <row r="463" spans="2:18" x14ac:dyDescent="0.3">
      <c r="B463" s="4"/>
      <c r="D463" s="4"/>
      <c r="E463" s="4"/>
      <c r="Q463" s="4"/>
      <c r="R463" s="4"/>
    </row>
    <row r="464" spans="2:18" x14ac:dyDescent="0.3">
      <c r="B464" s="4"/>
      <c r="D464" s="4"/>
      <c r="E464" s="4"/>
      <c r="Q464" s="4"/>
      <c r="R464" s="4"/>
    </row>
    <row r="465" spans="2:18" x14ac:dyDescent="0.3">
      <c r="B465" s="4"/>
      <c r="D465" s="4"/>
      <c r="E465" s="4"/>
      <c r="Q465" s="4"/>
      <c r="R465" s="4"/>
    </row>
    <row r="466" spans="2:18" x14ac:dyDescent="0.3">
      <c r="B466" s="4"/>
      <c r="D466" s="4"/>
      <c r="E466" s="4"/>
      <c r="Q466" s="4"/>
      <c r="R466" s="4"/>
    </row>
    <row r="467" spans="2:18" x14ac:dyDescent="0.3">
      <c r="B467" s="4"/>
      <c r="D467" s="4"/>
      <c r="E467" s="4"/>
      <c r="Q467" s="4"/>
      <c r="R467" s="4"/>
    </row>
    <row r="468" spans="2:18" x14ac:dyDescent="0.3">
      <c r="B468" s="4"/>
      <c r="D468" s="4"/>
      <c r="E468" s="4"/>
      <c r="Q468" s="4"/>
      <c r="R468" s="4"/>
    </row>
    <row r="469" spans="2:18" x14ac:dyDescent="0.3">
      <c r="B469" s="4"/>
      <c r="D469" s="4"/>
      <c r="E469" s="4"/>
      <c r="Q469" s="4"/>
      <c r="R469" s="4"/>
    </row>
    <row r="470" spans="2:18" x14ac:dyDescent="0.3">
      <c r="B470" s="4"/>
      <c r="D470" s="4"/>
      <c r="E470" s="4"/>
      <c r="Q470" s="4"/>
      <c r="R470" s="4"/>
    </row>
    <row r="471" spans="2:18" x14ac:dyDescent="0.3">
      <c r="B471" s="4"/>
      <c r="D471" s="4"/>
      <c r="E471" s="4"/>
      <c r="Q471" s="4"/>
      <c r="R471" s="4"/>
    </row>
    <row r="472" spans="2:18" x14ac:dyDescent="0.3">
      <c r="B472" s="4"/>
      <c r="D472" s="4"/>
      <c r="E472" s="4"/>
      <c r="Q472" s="4"/>
      <c r="R472" s="4"/>
    </row>
    <row r="473" spans="2:18" x14ac:dyDescent="0.3">
      <c r="B473" s="4"/>
      <c r="D473" s="4"/>
      <c r="E473" s="4"/>
      <c r="Q473" s="4"/>
      <c r="R473" s="4"/>
    </row>
    <row r="474" spans="2:18" x14ac:dyDescent="0.3">
      <c r="B474" s="4"/>
      <c r="D474" s="4"/>
      <c r="E474" s="4"/>
      <c r="Q474" s="4"/>
      <c r="R474" s="4"/>
    </row>
    <row r="475" spans="2:18" x14ac:dyDescent="0.3">
      <c r="B475" s="4"/>
      <c r="D475" s="4"/>
      <c r="E475" s="4"/>
      <c r="Q475" s="4"/>
      <c r="R475" s="4"/>
    </row>
    <row r="476" spans="2:18" x14ac:dyDescent="0.3">
      <c r="B476" s="4"/>
      <c r="D476" s="4"/>
      <c r="E476" s="4"/>
      <c r="Q476" s="4"/>
      <c r="R476" s="4"/>
    </row>
    <row r="477" spans="2:18" x14ac:dyDescent="0.3">
      <c r="B477" s="4"/>
      <c r="D477" s="4"/>
      <c r="E477" s="4"/>
      <c r="Q477" s="4"/>
      <c r="R477" s="4"/>
    </row>
    <row r="478" spans="2:18" x14ac:dyDescent="0.3">
      <c r="B478" s="4"/>
      <c r="D478" s="4"/>
      <c r="E478" s="4"/>
      <c r="Q478" s="4"/>
      <c r="R478" s="4"/>
    </row>
    <row r="479" spans="2:18" x14ac:dyDescent="0.3">
      <c r="B479" s="4"/>
      <c r="D479" s="4"/>
      <c r="E479" s="4"/>
      <c r="Q479" s="4"/>
      <c r="R479" s="4"/>
    </row>
    <row r="480" spans="2:18" x14ac:dyDescent="0.3">
      <c r="B480" s="4"/>
      <c r="D480" s="4"/>
      <c r="E480" s="4"/>
      <c r="Q480" s="4"/>
      <c r="R480" s="4"/>
    </row>
    <row r="481" spans="2:18" x14ac:dyDescent="0.3">
      <c r="B481" s="4"/>
      <c r="D481" s="4"/>
      <c r="E481" s="4"/>
      <c r="Q481" s="4"/>
      <c r="R481" s="4"/>
    </row>
    <row r="482" spans="2:18" x14ac:dyDescent="0.3">
      <c r="B482" s="4"/>
      <c r="D482" s="4"/>
      <c r="E482" s="4"/>
      <c r="Q482" s="4"/>
      <c r="R482" s="4"/>
    </row>
    <row r="483" spans="2:18" x14ac:dyDescent="0.3">
      <c r="B483" s="4"/>
      <c r="D483" s="4"/>
      <c r="E483" s="4"/>
      <c r="Q483" s="4"/>
      <c r="R483" s="4"/>
    </row>
    <row r="484" spans="2:18" x14ac:dyDescent="0.3">
      <c r="B484" s="4"/>
      <c r="D484" s="4"/>
      <c r="E484" s="4"/>
      <c r="Q484" s="4"/>
      <c r="R484" s="4"/>
    </row>
    <row r="485" spans="2:18" x14ac:dyDescent="0.3">
      <c r="B485" s="4"/>
      <c r="D485" s="4"/>
      <c r="E485" s="4"/>
      <c r="Q485" s="4"/>
      <c r="R485" s="4"/>
    </row>
    <row r="486" spans="2:18" x14ac:dyDescent="0.3">
      <c r="B486" s="4"/>
      <c r="D486" s="4"/>
      <c r="E486" s="4"/>
      <c r="Q486" s="4"/>
      <c r="R486" s="4"/>
    </row>
    <row r="487" spans="2:18" x14ac:dyDescent="0.3">
      <c r="B487" s="4"/>
      <c r="D487" s="4"/>
      <c r="E487" s="4"/>
      <c r="Q487" s="4"/>
      <c r="R487" s="4"/>
    </row>
    <row r="488" spans="2:18" x14ac:dyDescent="0.3">
      <c r="B488" s="4"/>
      <c r="D488" s="4"/>
      <c r="E488" s="4"/>
      <c r="Q488" s="4"/>
      <c r="R488" s="4"/>
    </row>
    <row r="489" spans="2:18" x14ac:dyDescent="0.3">
      <c r="B489" s="4"/>
      <c r="D489" s="4"/>
      <c r="E489" s="4"/>
      <c r="Q489" s="4"/>
      <c r="R489" s="4"/>
    </row>
    <row r="490" spans="2:18" x14ac:dyDescent="0.3">
      <c r="B490" s="4"/>
      <c r="D490" s="4"/>
      <c r="E490" s="4"/>
      <c r="Q490" s="4"/>
      <c r="R490" s="4"/>
    </row>
    <row r="491" spans="2:18" x14ac:dyDescent="0.3">
      <c r="B491" s="4"/>
      <c r="D491" s="4"/>
      <c r="E491" s="4"/>
      <c r="Q491" s="4"/>
      <c r="R491" s="4"/>
    </row>
    <row r="492" spans="2:18" x14ac:dyDescent="0.3">
      <c r="B492" s="4"/>
      <c r="D492" s="4"/>
      <c r="E492" s="4"/>
      <c r="Q492" s="4"/>
      <c r="R492" s="4"/>
    </row>
    <row r="493" spans="2:18" x14ac:dyDescent="0.3">
      <c r="B493" s="4"/>
      <c r="D493" s="4"/>
      <c r="E493" s="4"/>
      <c r="Q493" s="4"/>
      <c r="R493" s="4"/>
    </row>
    <row r="494" spans="2:18" x14ac:dyDescent="0.3">
      <c r="B494" s="4"/>
      <c r="D494" s="4"/>
      <c r="E494" s="4"/>
      <c r="Q494" s="4"/>
      <c r="R494" s="4"/>
    </row>
    <row r="495" spans="2:18" x14ac:dyDescent="0.3">
      <c r="B495" s="4"/>
      <c r="D495" s="4"/>
      <c r="E495" s="4"/>
      <c r="Q495" s="4"/>
      <c r="R495" s="4"/>
    </row>
    <row r="496" spans="2:18" x14ac:dyDescent="0.3">
      <c r="B496" s="4"/>
      <c r="D496" s="4"/>
      <c r="E496" s="4"/>
      <c r="Q496" s="4"/>
      <c r="R496" s="4"/>
    </row>
    <row r="497" spans="2:18" x14ac:dyDescent="0.3">
      <c r="B497" s="4"/>
      <c r="D497" s="4"/>
      <c r="E497" s="4"/>
      <c r="Q497" s="4"/>
      <c r="R497" s="4"/>
    </row>
    <row r="498" spans="2:18" x14ac:dyDescent="0.3">
      <c r="B498" s="4"/>
      <c r="D498" s="4"/>
      <c r="E498" s="4"/>
      <c r="Q498" s="4"/>
      <c r="R498" s="4"/>
    </row>
    <row r="499" spans="2:18" x14ac:dyDescent="0.3">
      <c r="B499" s="4"/>
      <c r="D499" s="4"/>
      <c r="E499" s="4"/>
      <c r="Q499" s="4"/>
      <c r="R499" s="4"/>
    </row>
    <row r="500" spans="2:18" x14ac:dyDescent="0.3">
      <c r="B500" s="4"/>
      <c r="D500" s="4"/>
      <c r="E500" s="4"/>
      <c r="Q500" s="4"/>
      <c r="R500" s="4"/>
    </row>
    <row r="501" spans="2:18" x14ac:dyDescent="0.3">
      <c r="B501" s="4"/>
      <c r="D501" s="4"/>
      <c r="E501" s="4"/>
      <c r="Q501" s="4"/>
      <c r="R501" s="4"/>
    </row>
    <row r="502" spans="2:18" x14ac:dyDescent="0.3">
      <c r="B502" s="4"/>
      <c r="D502" s="4"/>
      <c r="E502" s="4"/>
      <c r="Q502" s="4"/>
      <c r="R502" s="4"/>
    </row>
    <row r="503" spans="2:18" x14ac:dyDescent="0.3">
      <c r="B503" s="4"/>
      <c r="D503" s="4"/>
      <c r="E503" s="4"/>
      <c r="Q503" s="4"/>
      <c r="R503" s="4"/>
    </row>
    <row r="504" spans="2:18" x14ac:dyDescent="0.3">
      <c r="B504" s="4"/>
      <c r="D504" s="4"/>
      <c r="E504" s="4"/>
      <c r="Q504" s="4"/>
      <c r="R504" s="4"/>
    </row>
    <row r="505" spans="2:18" x14ac:dyDescent="0.3">
      <c r="B505" s="4"/>
      <c r="D505" s="4"/>
      <c r="E505" s="4"/>
      <c r="Q505" s="4"/>
      <c r="R505" s="4"/>
    </row>
    <row r="506" spans="2:18" x14ac:dyDescent="0.3">
      <c r="B506" s="4"/>
      <c r="D506" s="4"/>
      <c r="E506" s="4"/>
      <c r="Q506" s="4"/>
      <c r="R506" s="4"/>
    </row>
    <row r="507" spans="2:18" x14ac:dyDescent="0.3">
      <c r="B507" s="4"/>
      <c r="D507" s="4"/>
      <c r="E507" s="4"/>
      <c r="Q507" s="4"/>
      <c r="R507" s="4"/>
    </row>
    <row r="508" spans="2:18" x14ac:dyDescent="0.3">
      <c r="B508" s="4"/>
      <c r="D508" s="4"/>
      <c r="E508" s="4"/>
      <c r="Q508" s="4"/>
      <c r="R508" s="4"/>
    </row>
    <row r="509" spans="2:18" x14ac:dyDescent="0.3">
      <c r="B509" s="4"/>
      <c r="D509" s="4"/>
      <c r="E509" s="4"/>
      <c r="Q509" s="4"/>
      <c r="R509" s="4"/>
    </row>
    <row r="510" spans="2:18" x14ac:dyDescent="0.3">
      <c r="B510" s="4"/>
      <c r="D510" s="4"/>
      <c r="E510" s="4"/>
      <c r="Q510" s="4"/>
      <c r="R510" s="4"/>
    </row>
    <row r="511" spans="2:18" x14ac:dyDescent="0.3">
      <c r="B511" s="4"/>
      <c r="D511" s="4"/>
      <c r="E511" s="4"/>
      <c r="Q511" s="4"/>
      <c r="R511" s="4"/>
    </row>
    <row r="512" spans="2:18" x14ac:dyDescent="0.3">
      <c r="B512" s="4"/>
      <c r="D512" s="4"/>
      <c r="E512" s="4"/>
      <c r="Q512" s="4"/>
      <c r="R512" s="4"/>
    </row>
    <row r="513" spans="2:18" x14ac:dyDescent="0.3">
      <c r="B513" s="4"/>
      <c r="D513" s="4"/>
      <c r="E513" s="4"/>
      <c r="Q513" s="4"/>
      <c r="R513" s="4"/>
    </row>
    <row r="514" spans="2:18" x14ac:dyDescent="0.3">
      <c r="B514" s="4"/>
      <c r="D514" s="4"/>
      <c r="E514" s="4"/>
      <c r="Q514" s="4"/>
      <c r="R514" s="4"/>
    </row>
    <row r="515" spans="2:18" x14ac:dyDescent="0.3">
      <c r="B515" s="4"/>
      <c r="D515" s="4"/>
      <c r="E515" s="4"/>
      <c r="Q515" s="4"/>
      <c r="R515" s="4"/>
    </row>
    <row r="516" spans="2:18" x14ac:dyDescent="0.3">
      <c r="B516" s="4"/>
      <c r="D516" s="4"/>
      <c r="E516" s="4"/>
      <c r="Q516" s="4"/>
      <c r="R516" s="4"/>
    </row>
    <row r="517" spans="2:18" x14ac:dyDescent="0.3">
      <c r="B517" s="4"/>
      <c r="D517" s="4"/>
      <c r="E517" s="4"/>
      <c r="Q517" s="4"/>
      <c r="R517" s="4"/>
    </row>
    <row r="518" spans="2:18" x14ac:dyDescent="0.3">
      <c r="B518" s="4"/>
      <c r="D518" s="4"/>
      <c r="E518" s="4"/>
      <c r="Q518" s="4"/>
      <c r="R518" s="4"/>
    </row>
    <row r="519" spans="2:18" x14ac:dyDescent="0.3">
      <c r="B519" s="4"/>
      <c r="D519" s="4"/>
      <c r="E519" s="4"/>
      <c r="Q519" s="4"/>
      <c r="R519" s="4"/>
    </row>
    <row r="520" spans="2:18" x14ac:dyDescent="0.3">
      <c r="B520" s="4"/>
      <c r="D520" s="4"/>
      <c r="E520" s="4"/>
      <c r="Q520" s="4"/>
      <c r="R520" s="4"/>
    </row>
    <row r="521" spans="2:18" x14ac:dyDescent="0.3">
      <c r="B521" s="4"/>
      <c r="D521" s="4"/>
      <c r="E521" s="4"/>
      <c r="Q521" s="4"/>
      <c r="R521" s="4"/>
    </row>
    <row r="522" spans="2:18" x14ac:dyDescent="0.3">
      <c r="B522" s="4"/>
      <c r="D522" s="4"/>
      <c r="E522" s="4"/>
      <c r="Q522" s="4"/>
      <c r="R522" s="4"/>
    </row>
    <row r="523" spans="2:18" x14ac:dyDescent="0.3">
      <c r="B523" s="4"/>
      <c r="D523" s="4"/>
      <c r="E523" s="4"/>
      <c r="Q523" s="4"/>
      <c r="R523" s="4"/>
    </row>
    <row r="524" spans="2:18" x14ac:dyDescent="0.3">
      <c r="B524" s="4"/>
      <c r="D524" s="4"/>
      <c r="E524" s="4"/>
      <c r="Q524" s="4"/>
      <c r="R524" s="4"/>
    </row>
    <row r="525" spans="2:18" x14ac:dyDescent="0.3">
      <c r="B525" s="4"/>
      <c r="D525" s="4"/>
      <c r="E525" s="4"/>
      <c r="Q525" s="4"/>
      <c r="R525" s="4"/>
    </row>
    <row r="526" spans="2:18" x14ac:dyDescent="0.3">
      <c r="B526" s="4"/>
      <c r="D526" s="4"/>
      <c r="E526" s="4"/>
      <c r="Q526" s="4"/>
      <c r="R526" s="4"/>
    </row>
    <row r="527" spans="2:18" x14ac:dyDescent="0.3">
      <c r="B527" s="4"/>
      <c r="D527" s="4"/>
      <c r="E527" s="4"/>
      <c r="Q527" s="4"/>
      <c r="R527" s="4"/>
    </row>
    <row r="528" spans="2:18" x14ac:dyDescent="0.3">
      <c r="B528" s="4"/>
      <c r="D528" s="4"/>
      <c r="E528" s="4"/>
      <c r="Q528" s="4"/>
      <c r="R528" s="4"/>
    </row>
    <row r="529" spans="2:18" x14ac:dyDescent="0.3">
      <c r="B529" s="4"/>
      <c r="D529" s="4"/>
      <c r="E529" s="4"/>
      <c r="Q529" s="4"/>
      <c r="R529" s="4"/>
    </row>
    <row r="530" spans="2:18" x14ac:dyDescent="0.3">
      <c r="B530" s="4"/>
      <c r="D530" s="4"/>
      <c r="E530" s="4"/>
      <c r="Q530" s="4"/>
      <c r="R530" s="4"/>
    </row>
    <row r="531" spans="2:18" x14ac:dyDescent="0.3">
      <c r="B531" s="4"/>
      <c r="D531" s="4"/>
      <c r="E531" s="4"/>
      <c r="Q531" s="4"/>
      <c r="R531" s="4"/>
    </row>
    <row r="532" spans="2:18" x14ac:dyDescent="0.3">
      <c r="B532" s="4"/>
      <c r="D532" s="4"/>
      <c r="E532" s="4"/>
      <c r="Q532" s="4"/>
      <c r="R532" s="4"/>
    </row>
    <row r="533" spans="2:18" x14ac:dyDescent="0.3">
      <c r="B533" s="4"/>
      <c r="D533" s="4"/>
      <c r="E533" s="4"/>
      <c r="Q533" s="4"/>
      <c r="R533" s="4"/>
    </row>
    <row r="534" spans="2:18" x14ac:dyDescent="0.3">
      <c r="B534" s="4"/>
      <c r="D534" s="4"/>
      <c r="E534" s="4"/>
      <c r="Q534" s="4"/>
      <c r="R534" s="4"/>
    </row>
    <row r="535" spans="2:18" x14ac:dyDescent="0.3">
      <c r="B535" s="4"/>
      <c r="D535" s="4"/>
      <c r="E535" s="4"/>
      <c r="Q535" s="4"/>
      <c r="R535" s="4"/>
    </row>
    <row r="536" spans="2:18" x14ac:dyDescent="0.3">
      <c r="B536" s="4"/>
      <c r="D536" s="4"/>
      <c r="E536" s="4"/>
      <c r="Q536" s="4"/>
      <c r="R536" s="4"/>
    </row>
    <row r="537" spans="2:18" x14ac:dyDescent="0.3">
      <c r="B537" s="4"/>
      <c r="D537" s="4"/>
      <c r="E537" s="4"/>
      <c r="Q537" s="4"/>
      <c r="R537" s="4"/>
    </row>
    <row r="538" spans="2:18" x14ac:dyDescent="0.3">
      <c r="B538" s="4"/>
      <c r="D538" s="4"/>
      <c r="E538" s="4"/>
      <c r="Q538" s="4"/>
      <c r="R538" s="4"/>
    </row>
    <row r="539" spans="2:18" x14ac:dyDescent="0.3">
      <c r="B539" s="4"/>
      <c r="D539" s="4"/>
      <c r="E539" s="4"/>
      <c r="Q539" s="4"/>
      <c r="R539" s="4"/>
    </row>
    <row r="540" spans="2:18" x14ac:dyDescent="0.3">
      <c r="B540" s="4"/>
      <c r="D540" s="4"/>
      <c r="E540" s="4"/>
      <c r="Q540" s="4"/>
      <c r="R540" s="4"/>
    </row>
    <row r="541" spans="2:18" x14ac:dyDescent="0.3">
      <c r="B541" s="4"/>
      <c r="D541" s="4"/>
      <c r="E541" s="4"/>
      <c r="Q541" s="4"/>
      <c r="R541" s="4"/>
    </row>
    <row r="542" spans="2:18" x14ac:dyDescent="0.3">
      <c r="B542" s="4"/>
      <c r="D542" s="4"/>
      <c r="E542" s="4"/>
      <c r="Q542" s="4"/>
      <c r="R542" s="4"/>
    </row>
    <row r="543" spans="2:18" x14ac:dyDescent="0.3">
      <c r="B543" s="4"/>
      <c r="D543" s="4"/>
      <c r="E543" s="4"/>
      <c r="Q543" s="4"/>
      <c r="R543" s="4"/>
    </row>
    <row r="544" spans="2:18" x14ac:dyDescent="0.3">
      <c r="B544" s="4"/>
      <c r="D544" s="4"/>
      <c r="E544" s="4"/>
      <c r="Q544" s="4"/>
      <c r="R544" s="4"/>
    </row>
    <row r="545" spans="2:18" x14ac:dyDescent="0.3">
      <c r="B545" s="4"/>
      <c r="D545" s="4"/>
      <c r="E545" s="4"/>
      <c r="Q545" s="4"/>
      <c r="R545" s="4"/>
    </row>
    <row r="546" spans="2:18" x14ac:dyDescent="0.3">
      <c r="B546" s="4"/>
      <c r="D546" s="4"/>
      <c r="E546" s="4"/>
      <c r="Q546" s="4"/>
      <c r="R546" s="4"/>
    </row>
    <row r="547" spans="2:18" x14ac:dyDescent="0.3">
      <c r="B547" s="4"/>
      <c r="D547" s="4"/>
      <c r="E547" s="4"/>
      <c r="Q547" s="4"/>
      <c r="R547" s="4"/>
    </row>
    <row r="548" spans="2:18" x14ac:dyDescent="0.3">
      <c r="B548" s="4"/>
      <c r="D548" s="4"/>
      <c r="E548" s="4"/>
      <c r="Q548" s="4"/>
      <c r="R548" s="4"/>
    </row>
    <row r="549" spans="2:18" x14ac:dyDescent="0.3">
      <c r="B549" s="4"/>
      <c r="D549" s="4"/>
      <c r="E549" s="4"/>
      <c r="Q549" s="4"/>
      <c r="R549" s="4"/>
    </row>
    <row r="550" spans="2:18" x14ac:dyDescent="0.3">
      <c r="B550" s="4"/>
      <c r="D550" s="4"/>
      <c r="E550" s="4"/>
      <c r="Q550" s="4"/>
      <c r="R550" s="4"/>
    </row>
    <row r="551" spans="2:18" x14ac:dyDescent="0.3">
      <c r="B551" s="4"/>
      <c r="D551" s="4"/>
      <c r="E551" s="4"/>
      <c r="Q551" s="4"/>
      <c r="R551" s="4"/>
    </row>
    <row r="552" spans="2:18" x14ac:dyDescent="0.3">
      <c r="B552" s="4"/>
      <c r="D552" s="4"/>
      <c r="E552" s="4"/>
      <c r="Q552" s="4"/>
      <c r="R552" s="4"/>
    </row>
    <row r="553" spans="2:18" x14ac:dyDescent="0.3">
      <c r="B553" s="4"/>
      <c r="D553" s="4"/>
      <c r="E553" s="4"/>
      <c r="Q553" s="4"/>
      <c r="R553" s="4"/>
    </row>
    <row r="554" spans="2:18" x14ac:dyDescent="0.3">
      <c r="B554" s="4"/>
      <c r="D554" s="4"/>
      <c r="E554" s="4"/>
      <c r="Q554" s="4"/>
      <c r="R554" s="4"/>
    </row>
    <row r="555" spans="2:18" x14ac:dyDescent="0.3">
      <c r="B555" s="4"/>
      <c r="D555" s="4"/>
      <c r="E555" s="4"/>
      <c r="Q555" s="4"/>
      <c r="R555" s="4"/>
    </row>
    <row r="556" spans="2:18" x14ac:dyDescent="0.3">
      <c r="B556" s="4"/>
      <c r="D556" s="4"/>
      <c r="E556" s="4"/>
      <c r="Q556" s="4"/>
      <c r="R556" s="4"/>
    </row>
    <row r="557" spans="2:18" x14ac:dyDescent="0.3">
      <c r="B557" s="4"/>
      <c r="D557" s="4"/>
      <c r="E557" s="4"/>
      <c r="Q557" s="4"/>
      <c r="R557" s="4"/>
    </row>
    <row r="558" spans="2:18" x14ac:dyDescent="0.3">
      <c r="B558" s="4"/>
      <c r="D558" s="4"/>
      <c r="E558" s="4"/>
      <c r="Q558" s="4"/>
      <c r="R558" s="4"/>
    </row>
    <row r="559" spans="2:18" x14ac:dyDescent="0.3">
      <c r="B559" s="4"/>
      <c r="D559" s="4"/>
      <c r="E559" s="4"/>
      <c r="Q559" s="4"/>
      <c r="R559" s="4"/>
    </row>
    <row r="560" spans="2:18" x14ac:dyDescent="0.3">
      <c r="B560" s="4"/>
      <c r="D560" s="4"/>
      <c r="E560" s="4"/>
      <c r="Q560" s="4"/>
      <c r="R560" s="4"/>
    </row>
    <row r="561" spans="2:18" x14ac:dyDescent="0.3">
      <c r="B561" s="4"/>
      <c r="D561" s="4"/>
      <c r="E561" s="4"/>
      <c r="Q561" s="4"/>
      <c r="R561" s="4"/>
    </row>
    <row r="562" spans="2:18" x14ac:dyDescent="0.3">
      <c r="B562" s="4"/>
      <c r="D562" s="4"/>
      <c r="E562" s="4"/>
      <c r="Q562" s="4"/>
      <c r="R562" s="4"/>
    </row>
    <row r="563" spans="2:18" x14ac:dyDescent="0.3">
      <c r="B563" s="4"/>
      <c r="D563" s="4"/>
      <c r="E563" s="4"/>
      <c r="Q563" s="4"/>
      <c r="R563" s="4"/>
    </row>
    <row r="564" spans="2:18" x14ac:dyDescent="0.3">
      <c r="B564" s="4"/>
      <c r="D564" s="4"/>
      <c r="E564" s="4"/>
      <c r="Q564" s="4"/>
      <c r="R564" s="4"/>
    </row>
    <row r="565" spans="2:18" x14ac:dyDescent="0.3">
      <c r="B565" s="4"/>
      <c r="D565" s="4"/>
      <c r="E565" s="4"/>
      <c r="Q565" s="4"/>
      <c r="R565" s="4"/>
    </row>
    <row r="566" spans="2:18" x14ac:dyDescent="0.3">
      <c r="B566" s="4"/>
      <c r="D566" s="4"/>
      <c r="E566" s="4"/>
      <c r="Q566" s="4"/>
      <c r="R566" s="4"/>
    </row>
    <row r="567" spans="2:18" x14ac:dyDescent="0.3">
      <c r="B567" s="4"/>
      <c r="D567" s="4"/>
      <c r="E567" s="4"/>
      <c r="Q567" s="4"/>
      <c r="R567" s="4"/>
    </row>
    <row r="568" spans="2:18" x14ac:dyDescent="0.3">
      <c r="B568" s="4"/>
      <c r="D568" s="4"/>
      <c r="E568" s="4"/>
      <c r="Q568" s="4"/>
      <c r="R568" s="4"/>
    </row>
    <row r="569" spans="2:18" x14ac:dyDescent="0.3">
      <c r="B569" s="4"/>
      <c r="D569" s="4"/>
      <c r="E569" s="4"/>
      <c r="Q569" s="4"/>
      <c r="R569" s="4"/>
    </row>
    <row r="570" spans="2:18" x14ac:dyDescent="0.3">
      <c r="B570" s="4"/>
      <c r="D570" s="4"/>
      <c r="E570" s="4"/>
      <c r="Q570" s="4"/>
      <c r="R570" s="4"/>
    </row>
    <row r="571" spans="2:18" x14ac:dyDescent="0.3">
      <c r="B571" s="4"/>
      <c r="D571" s="4"/>
      <c r="E571" s="4"/>
      <c r="Q571" s="4"/>
      <c r="R571" s="4"/>
    </row>
    <row r="572" spans="2:18" x14ac:dyDescent="0.3">
      <c r="B572" s="4"/>
      <c r="D572" s="4"/>
      <c r="E572" s="4"/>
      <c r="Q572" s="4"/>
      <c r="R572" s="4"/>
    </row>
    <row r="573" spans="2:18" x14ac:dyDescent="0.3">
      <c r="B573" s="4"/>
      <c r="D573" s="4"/>
      <c r="E573" s="4"/>
      <c r="Q573" s="4"/>
      <c r="R573" s="4"/>
    </row>
    <row r="574" spans="2:18" x14ac:dyDescent="0.3">
      <c r="B574" s="4"/>
      <c r="D574" s="4"/>
      <c r="E574" s="4"/>
      <c r="Q574" s="4"/>
      <c r="R574" s="4"/>
    </row>
    <row r="575" spans="2:18" x14ac:dyDescent="0.3">
      <c r="B575" s="4"/>
      <c r="D575" s="4"/>
      <c r="E575" s="4"/>
      <c r="Q575" s="4"/>
      <c r="R575" s="4"/>
    </row>
    <row r="576" spans="2:18" x14ac:dyDescent="0.3">
      <c r="B576" s="4"/>
      <c r="D576" s="4"/>
      <c r="E576" s="4"/>
      <c r="Q576" s="4"/>
      <c r="R576" s="4"/>
    </row>
    <row r="577" spans="2:18" x14ac:dyDescent="0.3">
      <c r="B577" s="4"/>
      <c r="D577" s="4"/>
      <c r="E577" s="4"/>
      <c r="Q577" s="4"/>
      <c r="R577" s="4"/>
    </row>
    <row r="578" spans="2:18" x14ac:dyDescent="0.3">
      <c r="B578" s="4"/>
      <c r="D578" s="4"/>
      <c r="E578" s="4"/>
      <c r="Q578" s="4"/>
      <c r="R578" s="4"/>
    </row>
    <row r="579" spans="2:18" x14ac:dyDescent="0.3">
      <c r="B579" s="4"/>
      <c r="D579" s="4"/>
      <c r="E579" s="4"/>
      <c r="Q579" s="4"/>
      <c r="R579" s="4"/>
    </row>
    <row r="580" spans="2:18" x14ac:dyDescent="0.3">
      <c r="B580" s="4"/>
      <c r="D580" s="4"/>
      <c r="E580" s="4"/>
      <c r="Q580" s="4"/>
      <c r="R580" s="4"/>
    </row>
    <row r="581" spans="2:18" x14ac:dyDescent="0.3">
      <c r="B581" s="4"/>
      <c r="D581" s="4"/>
      <c r="E581" s="4"/>
      <c r="Q581" s="4"/>
      <c r="R581" s="4"/>
    </row>
    <row r="582" spans="2:18" x14ac:dyDescent="0.3">
      <c r="B582" s="4"/>
      <c r="D582" s="4"/>
      <c r="E582" s="4"/>
      <c r="Q582" s="4"/>
      <c r="R582" s="4"/>
    </row>
    <row r="583" spans="2:18" x14ac:dyDescent="0.3">
      <c r="B583" s="4"/>
      <c r="D583" s="4"/>
      <c r="E583" s="4"/>
      <c r="Q583" s="4"/>
      <c r="R583" s="4"/>
    </row>
    <row r="584" spans="2:18" x14ac:dyDescent="0.3">
      <c r="B584" s="4"/>
      <c r="D584" s="4"/>
      <c r="E584" s="4"/>
      <c r="Q584" s="4"/>
      <c r="R584" s="4"/>
    </row>
    <row r="585" spans="2:18" x14ac:dyDescent="0.3">
      <c r="B585" s="4"/>
      <c r="D585" s="4"/>
      <c r="E585" s="4"/>
      <c r="Q585" s="4"/>
      <c r="R585" s="4"/>
    </row>
    <row r="586" spans="2:18" x14ac:dyDescent="0.3">
      <c r="B586" s="4"/>
      <c r="D586" s="4"/>
      <c r="E586" s="4"/>
      <c r="Q586" s="4"/>
      <c r="R586" s="4"/>
    </row>
    <row r="587" spans="2:18" x14ac:dyDescent="0.3">
      <c r="B587" s="4"/>
      <c r="D587" s="4"/>
      <c r="E587" s="4"/>
      <c r="Q587" s="4"/>
      <c r="R587" s="4"/>
    </row>
    <row r="588" spans="2:18" x14ac:dyDescent="0.3">
      <c r="B588" s="4"/>
      <c r="D588" s="4"/>
      <c r="E588" s="4"/>
      <c r="Q588" s="4"/>
      <c r="R588" s="4"/>
    </row>
    <row r="589" spans="2:18" x14ac:dyDescent="0.3">
      <c r="B589" s="4"/>
      <c r="D589" s="4"/>
      <c r="E589" s="4"/>
      <c r="Q589" s="4"/>
      <c r="R589" s="4"/>
    </row>
    <row r="590" spans="2:18" x14ac:dyDescent="0.3">
      <c r="B590" s="4"/>
      <c r="D590" s="4"/>
      <c r="E590" s="4"/>
      <c r="Q590" s="4"/>
      <c r="R590" s="4"/>
    </row>
    <row r="591" spans="2:18" x14ac:dyDescent="0.3">
      <c r="B591" s="4"/>
      <c r="D591" s="4"/>
      <c r="E591" s="4"/>
      <c r="Q591" s="4"/>
      <c r="R591" s="4"/>
    </row>
    <row r="592" spans="2:18" x14ac:dyDescent="0.3">
      <c r="B592" s="4"/>
      <c r="D592" s="4"/>
      <c r="E592" s="4"/>
      <c r="Q592" s="4"/>
      <c r="R592" s="4"/>
    </row>
    <row r="593" spans="2:18" x14ac:dyDescent="0.3">
      <c r="B593" s="4"/>
      <c r="D593" s="4"/>
      <c r="E593" s="4"/>
      <c r="Q593" s="4"/>
      <c r="R593" s="4"/>
    </row>
    <row r="594" spans="2:18" x14ac:dyDescent="0.3">
      <c r="B594" s="4"/>
      <c r="D594" s="4"/>
      <c r="E594" s="4"/>
      <c r="Q594" s="4"/>
      <c r="R594" s="4"/>
    </row>
    <row r="595" spans="2:18" x14ac:dyDescent="0.3">
      <c r="B595" s="4"/>
      <c r="D595" s="4"/>
      <c r="E595" s="4"/>
      <c r="Q595" s="4"/>
      <c r="R595" s="4"/>
    </row>
    <row r="596" spans="2:18" x14ac:dyDescent="0.3">
      <c r="B596" s="4"/>
      <c r="D596" s="4"/>
      <c r="E596" s="4"/>
      <c r="Q596" s="4"/>
      <c r="R596" s="4"/>
    </row>
    <row r="597" spans="2:18" x14ac:dyDescent="0.3">
      <c r="B597" s="4"/>
      <c r="D597" s="4"/>
      <c r="E597" s="4"/>
      <c r="Q597" s="4"/>
      <c r="R597" s="4"/>
    </row>
    <row r="598" spans="2:18" x14ac:dyDescent="0.3">
      <c r="B598" s="4"/>
      <c r="D598" s="4"/>
      <c r="E598" s="4"/>
      <c r="Q598" s="4"/>
      <c r="R598" s="4"/>
    </row>
    <row r="599" spans="2:18" x14ac:dyDescent="0.3">
      <c r="B599" s="4"/>
      <c r="D599" s="4"/>
      <c r="E599" s="4"/>
      <c r="Q599" s="4"/>
      <c r="R599" s="4"/>
    </row>
    <row r="600" spans="2:18" x14ac:dyDescent="0.3">
      <c r="B600" s="4"/>
      <c r="D600" s="4"/>
      <c r="E600" s="4"/>
      <c r="Q600" s="4"/>
      <c r="R600" s="4"/>
    </row>
    <row r="601" spans="2:18" x14ac:dyDescent="0.3">
      <c r="B601" s="4"/>
      <c r="D601" s="4"/>
      <c r="E601" s="4"/>
      <c r="Q601" s="4"/>
      <c r="R601" s="4"/>
    </row>
    <row r="602" spans="2:18" x14ac:dyDescent="0.3">
      <c r="B602" s="4"/>
      <c r="D602" s="4"/>
      <c r="E602" s="4"/>
      <c r="Q602" s="4"/>
      <c r="R602" s="4"/>
    </row>
    <row r="603" spans="2:18" x14ac:dyDescent="0.3">
      <c r="B603" s="4"/>
      <c r="D603" s="4"/>
      <c r="E603" s="4"/>
      <c r="Q603" s="4"/>
      <c r="R603" s="4"/>
    </row>
    <row r="604" spans="2:18" x14ac:dyDescent="0.3">
      <c r="B604" s="4"/>
      <c r="D604" s="4"/>
      <c r="E604" s="4"/>
      <c r="Q604" s="4"/>
      <c r="R604" s="4"/>
    </row>
    <row r="605" spans="2:18" x14ac:dyDescent="0.3">
      <c r="B605" s="4"/>
      <c r="D605" s="4"/>
      <c r="E605" s="4"/>
      <c r="Q605" s="4"/>
      <c r="R605" s="4"/>
    </row>
    <row r="606" spans="2:18" x14ac:dyDescent="0.3">
      <c r="B606" s="4"/>
      <c r="D606" s="4"/>
      <c r="E606" s="4"/>
      <c r="Q606" s="4"/>
      <c r="R606" s="4"/>
    </row>
    <row r="607" spans="2:18" x14ac:dyDescent="0.3">
      <c r="B607" s="4"/>
      <c r="D607" s="4"/>
      <c r="E607" s="4"/>
      <c r="Q607" s="4"/>
      <c r="R607" s="4"/>
    </row>
    <row r="608" spans="2:18" x14ac:dyDescent="0.3">
      <c r="B608" s="4"/>
      <c r="D608" s="4"/>
      <c r="E608" s="4"/>
      <c r="Q608" s="4"/>
      <c r="R608" s="4"/>
    </row>
    <row r="609" spans="2:18" x14ac:dyDescent="0.3">
      <c r="B609" s="4"/>
      <c r="D609" s="4"/>
      <c r="E609" s="4"/>
      <c r="Q609" s="4"/>
      <c r="R609" s="4"/>
    </row>
    <row r="610" spans="2:18" x14ac:dyDescent="0.3">
      <c r="B610" s="4"/>
      <c r="D610" s="4"/>
      <c r="E610" s="4"/>
      <c r="Q610" s="4"/>
      <c r="R610" s="4"/>
    </row>
    <row r="611" spans="2:18" x14ac:dyDescent="0.3">
      <c r="B611" s="4"/>
      <c r="D611" s="4"/>
      <c r="E611" s="4"/>
      <c r="Q611" s="4"/>
      <c r="R611" s="4"/>
    </row>
    <row r="612" spans="2:18" x14ac:dyDescent="0.3">
      <c r="B612" s="4"/>
      <c r="D612" s="4"/>
      <c r="E612" s="4"/>
      <c r="Q612" s="4"/>
      <c r="R612" s="4"/>
    </row>
    <row r="613" spans="2:18" x14ac:dyDescent="0.3">
      <c r="B613" s="4"/>
      <c r="D613" s="4"/>
      <c r="E613" s="4"/>
      <c r="Q613" s="4"/>
      <c r="R613" s="4"/>
    </row>
    <row r="614" spans="2:18" x14ac:dyDescent="0.3">
      <c r="B614" s="4"/>
      <c r="D614" s="4"/>
      <c r="E614" s="4"/>
      <c r="Q614" s="4"/>
      <c r="R614" s="4"/>
    </row>
    <row r="615" spans="2:18" x14ac:dyDescent="0.3">
      <c r="B615" s="4"/>
      <c r="D615" s="4"/>
      <c r="E615" s="4"/>
      <c r="Q615" s="4"/>
      <c r="R615" s="4"/>
    </row>
    <row r="616" spans="2:18" x14ac:dyDescent="0.3">
      <c r="B616" s="4"/>
      <c r="D616" s="4"/>
      <c r="E616" s="4"/>
      <c r="Q616" s="4"/>
      <c r="R616" s="4"/>
    </row>
    <row r="617" spans="2:18" x14ac:dyDescent="0.3">
      <c r="B617" s="4"/>
      <c r="D617" s="4"/>
      <c r="E617" s="4"/>
      <c r="Q617" s="4"/>
      <c r="R617" s="4"/>
    </row>
    <row r="618" spans="2:18" x14ac:dyDescent="0.3">
      <c r="B618" s="4"/>
      <c r="D618" s="4"/>
      <c r="E618" s="4"/>
      <c r="Q618" s="4"/>
      <c r="R618" s="4"/>
    </row>
    <row r="619" spans="2:18" x14ac:dyDescent="0.3">
      <c r="B619" s="4"/>
      <c r="D619" s="4"/>
      <c r="E619" s="4"/>
      <c r="Q619" s="4"/>
      <c r="R619" s="4"/>
    </row>
    <row r="620" spans="2:18" x14ac:dyDescent="0.3">
      <c r="B620" s="4"/>
      <c r="D620" s="4"/>
      <c r="E620" s="4"/>
      <c r="Q620" s="4"/>
      <c r="R620" s="4"/>
    </row>
    <row r="621" spans="2:18" x14ac:dyDescent="0.3">
      <c r="B621" s="4"/>
      <c r="D621" s="4"/>
      <c r="E621" s="4"/>
      <c r="Q621" s="4"/>
      <c r="R621" s="4"/>
    </row>
    <row r="622" spans="2:18" x14ac:dyDescent="0.3">
      <c r="B622" s="4"/>
      <c r="D622" s="4"/>
      <c r="E622" s="4"/>
      <c r="Q622" s="4"/>
      <c r="R622" s="4"/>
    </row>
    <row r="623" spans="2:18" x14ac:dyDescent="0.3">
      <c r="B623" s="4"/>
      <c r="D623" s="4"/>
      <c r="E623" s="4"/>
      <c r="Q623" s="4"/>
      <c r="R623" s="4"/>
    </row>
    <row r="624" spans="2:18" x14ac:dyDescent="0.3">
      <c r="B624" s="4"/>
      <c r="D624" s="4"/>
      <c r="E624" s="4"/>
      <c r="Q624" s="4"/>
      <c r="R624" s="4"/>
    </row>
    <row r="625" spans="2:18" x14ac:dyDescent="0.3">
      <c r="B625" s="4"/>
      <c r="D625" s="4"/>
      <c r="E625" s="4"/>
      <c r="Q625" s="4"/>
      <c r="R625" s="4"/>
    </row>
    <row r="626" spans="2:18" x14ac:dyDescent="0.3">
      <c r="B626" s="4"/>
      <c r="D626" s="4"/>
      <c r="E626" s="4"/>
      <c r="Q626" s="4"/>
      <c r="R626" s="4"/>
    </row>
    <row r="627" spans="2:18" x14ac:dyDescent="0.3">
      <c r="B627" s="4"/>
      <c r="D627" s="4"/>
      <c r="E627" s="4"/>
      <c r="Q627" s="4"/>
      <c r="R627" s="4"/>
    </row>
    <row r="628" spans="2:18" x14ac:dyDescent="0.3">
      <c r="B628" s="4"/>
      <c r="D628" s="4"/>
      <c r="E628" s="4"/>
      <c r="Q628" s="4"/>
      <c r="R628" s="4"/>
    </row>
    <row r="629" spans="2:18" x14ac:dyDescent="0.3">
      <c r="B629" s="4"/>
      <c r="D629" s="4"/>
      <c r="E629" s="4"/>
      <c r="Q629" s="4"/>
      <c r="R629" s="4"/>
    </row>
    <row r="630" spans="2:18" x14ac:dyDescent="0.3">
      <c r="B630" s="4"/>
      <c r="D630" s="4"/>
      <c r="E630" s="4"/>
      <c r="Q630" s="4"/>
      <c r="R630" s="4"/>
    </row>
    <row r="631" spans="2:18" x14ac:dyDescent="0.3">
      <c r="B631" s="4"/>
      <c r="D631" s="4"/>
      <c r="E631" s="4"/>
      <c r="Q631" s="4"/>
      <c r="R631" s="4"/>
    </row>
    <row r="632" spans="2:18" x14ac:dyDescent="0.3">
      <c r="B632" s="4"/>
      <c r="D632" s="4"/>
      <c r="E632" s="4"/>
      <c r="Q632" s="4"/>
      <c r="R632" s="4"/>
    </row>
    <row r="633" spans="2:18" x14ac:dyDescent="0.3">
      <c r="B633" s="4"/>
      <c r="D633" s="4"/>
      <c r="E633" s="4"/>
      <c r="Q633" s="4"/>
      <c r="R633" s="4"/>
    </row>
    <row r="634" spans="2:18" x14ac:dyDescent="0.3">
      <c r="B634" s="4"/>
      <c r="D634" s="4"/>
      <c r="E634" s="4"/>
      <c r="Q634" s="4"/>
      <c r="R634" s="4"/>
    </row>
    <row r="635" spans="2:18" x14ac:dyDescent="0.3">
      <c r="B635" s="4"/>
      <c r="D635" s="4"/>
      <c r="E635" s="4"/>
      <c r="Q635" s="4"/>
      <c r="R635" s="4"/>
    </row>
    <row r="636" spans="2:18" x14ac:dyDescent="0.3">
      <c r="B636" s="4"/>
      <c r="D636" s="4"/>
      <c r="E636" s="4"/>
      <c r="Q636" s="4"/>
      <c r="R636" s="4"/>
    </row>
    <row r="637" spans="2:18" x14ac:dyDescent="0.3">
      <c r="B637" s="4"/>
      <c r="D637" s="4"/>
      <c r="E637" s="4"/>
      <c r="Q637" s="4"/>
      <c r="R637" s="4"/>
    </row>
    <row r="638" spans="2:18" x14ac:dyDescent="0.3">
      <c r="B638" s="4"/>
      <c r="D638" s="4"/>
      <c r="E638" s="4"/>
      <c r="Q638" s="4"/>
      <c r="R638" s="4"/>
    </row>
    <row r="639" spans="2:18" x14ac:dyDescent="0.3">
      <c r="B639" s="4"/>
      <c r="D639" s="4"/>
      <c r="E639" s="4"/>
      <c r="Q639" s="4"/>
      <c r="R639" s="4"/>
    </row>
    <row r="640" spans="2:18" x14ac:dyDescent="0.3">
      <c r="B640" s="4"/>
      <c r="D640" s="4"/>
      <c r="E640" s="4"/>
      <c r="Q640" s="4"/>
      <c r="R640" s="4"/>
    </row>
    <row r="641" spans="2:18" x14ac:dyDescent="0.3">
      <c r="B641" s="4"/>
      <c r="D641" s="4"/>
      <c r="E641" s="4"/>
      <c r="Q641" s="4"/>
      <c r="R641" s="4"/>
    </row>
    <row r="642" spans="2:18" x14ac:dyDescent="0.3">
      <c r="B642" s="4"/>
      <c r="D642" s="4"/>
      <c r="E642" s="4"/>
      <c r="Q642" s="4"/>
      <c r="R642" s="4"/>
    </row>
    <row r="643" spans="2:18" x14ac:dyDescent="0.3">
      <c r="B643" s="4"/>
      <c r="D643" s="4"/>
      <c r="E643" s="4"/>
      <c r="Q643" s="4"/>
      <c r="R643" s="4"/>
    </row>
    <row r="644" spans="2:18" x14ac:dyDescent="0.3">
      <c r="B644" s="4"/>
      <c r="D644" s="4"/>
      <c r="E644" s="4"/>
      <c r="Q644" s="4"/>
      <c r="R644" s="4"/>
    </row>
    <row r="645" spans="2:18" x14ac:dyDescent="0.3">
      <c r="B645" s="4"/>
      <c r="D645" s="4"/>
      <c r="E645" s="4"/>
      <c r="Q645" s="4"/>
      <c r="R645" s="4"/>
    </row>
    <row r="646" spans="2:18" x14ac:dyDescent="0.3">
      <c r="B646" s="4"/>
      <c r="D646" s="4"/>
      <c r="E646" s="4"/>
      <c r="Q646" s="4"/>
      <c r="R646" s="4"/>
    </row>
    <row r="647" spans="2:18" x14ac:dyDescent="0.3">
      <c r="B647" s="4"/>
      <c r="D647" s="4"/>
      <c r="E647" s="4"/>
      <c r="Q647" s="4"/>
      <c r="R647" s="4"/>
    </row>
    <row r="648" spans="2:18" x14ac:dyDescent="0.3">
      <c r="B648" s="4"/>
      <c r="D648" s="4"/>
      <c r="E648" s="4"/>
      <c r="Q648" s="4"/>
      <c r="R648" s="4"/>
    </row>
    <row r="649" spans="2:18" x14ac:dyDescent="0.3">
      <c r="B649" s="4"/>
      <c r="D649" s="4"/>
      <c r="E649" s="4"/>
      <c r="Q649" s="4"/>
      <c r="R649" s="4"/>
    </row>
    <row r="650" spans="2:18" x14ac:dyDescent="0.3">
      <c r="B650" s="4"/>
      <c r="D650" s="4"/>
      <c r="E650" s="4"/>
      <c r="Q650" s="4"/>
      <c r="R650" s="4"/>
    </row>
    <row r="651" spans="2:18" x14ac:dyDescent="0.3">
      <c r="B651" s="4"/>
      <c r="D651" s="4"/>
      <c r="E651" s="4"/>
      <c r="Q651" s="4"/>
      <c r="R651" s="4"/>
    </row>
    <row r="652" spans="2:18" x14ac:dyDescent="0.3">
      <c r="B652" s="4"/>
      <c r="D652" s="4"/>
      <c r="E652" s="4"/>
      <c r="Q652" s="4"/>
      <c r="R652" s="4"/>
    </row>
    <row r="653" spans="2:18" x14ac:dyDescent="0.3">
      <c r="B653" s="4"/>
      <c r="D653" s="4"/>
      <c r="E653" s="4"/>
      <c r="Q653" s="4"/>
      <c r="R653" s="4"/>
    </row>
    <row r="654" spans="2:18" x14ac:dyDescent="0.3">
      <c r="B654" s="4"/>
      <c r="D654" s="4"/>
      <c r="E654" s="4"/>
      <c r="Q654" s="4"/>
      <c r="R654" s="4"/>
    </row>
    <row r="655" spans="2:18" x14ac:dyDescent="0.3">
      <c r="B655" s="4"/>
      <c r="D655" s="4"/>
      <c r="E655" s="4"/>
      <c r="Q655" s="4"/>
      <c r="R655" s="4"/>
    </row>
    <row r="656" spans="2:18" x14ac:dyDescent="0.3">
      <c r="B656" s="4"/>
      <c r="D656" s="4"/>
      <c r="E656" s="4"/>
      <c r="Q656" s="4"/>
      <c r="R656" s="4"/>
    </row>
    <row r="657" spans="2:18" x14ac:dyDescent="0.3">
      <c r="B657" s="4"/>
      <c r="D657" s="4"/>
      <c r="E657" s="4"/>
      <c r="Q657" s="4"/>
      <c r="R657" s="4"/>
    </row>
    <row r="658" spans="2:18" x14ac:dyDescent="0.3">
      <c r="B658" s="4"/>
      <c r="D658" s="4"/>
      <c r="E658" s="4"/>
      <c r="Q658" s="4"/>
      <c r="R658" s="4"/>
    </row>
    <row r="659" spans="2:18" x14ac:dyDescent="0.3">
      <c r="B659" s="4"/>
      <c r="D659" s="4"/>
      <c r="E659" s="4"/>
      <c r="Q659" s="4"/>
      <c r="R659" s="4"/>
    </row>
    <row r="660" spans="2:18" x14ac:dyDescent="0.3">
      <c r="B660" s="4"/>
      <c r="D660" s="4"/>
      <c r="E660" s="4"/>
      <c r="Q660" s="4"/>
      <c r="R660" s="4"/>
    </row>
    <row r="661" spans="2:18" x14ac:dyDescent="0.3">
      <c r="B661" s="4"/>
      <c r="D661" s="4"/>
      <c r="E661" s="4"/>
      <c r="Q661" s="4"/>
      <c r="R661" s="4"/>
    </row>
    <row r="662" spans="2:18" x14ac:dyDescent="0.3">
      <c r="B662" s="4"/>
      <c r="D662" s="4"/>
      <c r="E662" s="4"/>
      <c r="Q662" s="4"/>
      <c r="R662" s="4"/>
    </row>
    <row r="663" spans="2:18" x14ac:dyDescent="0.3">
      <c r="B663" s="4"/>
      <c r="D663" s="4"/>
      <c r="E663" s="4"/>
      <c r="Q663" s="4"/>
      <c r="R663" s="4"/>
    </row>
    <row r="664" spans="2:18" x14ac:dyDescent="0.3">
      <c r="B664" s="4"/>
      <c r="D664" s="4"/>
      <c r="E664" s="4"/>
      <c r="Q664" s="4"/>
      <c r="R664" s="4"/>
    </row>
    <row r="665" spans="2:18" x14ac:dyDescent="0.3">
      <c r="B665" s="4"/>
      <c r="D665" s="4"/>
      <c r="E665" s="4"/>
      <c r="Q665" s="4"/>
      <c r="R665" s="4"/>
    </row>
    <row r="666" spans="2:18" x14ac:dyDescent="0.3">
      <c r="B666" s="4"/>
      <c r="D666" s="4"/>
      <c r="E666" s="4"/>
      <c r="Q666" s="4"/>
      <c r="R666" s="4"/>
    </row>
    <row r="667" spans="2:18" x14ac:dyDescent="0.3">
      <c r="B667" s="4"/>
      <c r="D667" s="4"/>
      <c r="E667" s="4"/>
      <c r="Q667" s="4"/>
      <c r="R667" s="4"/>
    </row>
    <row r="668" spans="2:18" x14ac:dyDescent="0.3">
      <c r="B668" s="4"/>
      <c r="D668" s="4"/>
      <c r="E668" s="4"/>
      <c r="Q668" s="4"/>
      <c r="R668" s="4"/>
    </row>
    <row r="669" spans="2:18" x14ac:dyDescent="0.3">
      <c r="B669" s="4"/>
      <c r="D669" s="4"/>
      <c r="E669" s="4"/>
      <c r="Q669" s="4"/>
      <c r="R669" s="4"/>
    </row>
    <row r="670" spans="2:18" x14ac:dyDescent="0.3">
      <c r="B670" s="4"/>
      <c r="D670" s="4"/>
      <c r="E670" s="4"/>
      <c r="Q670" s="4"/>
      <c r="R670" s="4"/>
    </row>
    <row r="671" spans="2:18" x14ac:dyDescent="0.3">
      <c r="B671" s="4"/>
      <c r="D671" s="4"/>
      <c r="E671" s="4"/>
      <c r="Q671" s="4"/>
      <c r="R671" s="4"/>
    </row>
    <row r="672" spans="2:18" x14ac:dyDescent="0.3">
      <c r="B672" s="4"/>
      <c r="D672" s="4"/>
      <c r="E672" s="4"/>
      <c r="Q672" s="4"/>
      <c r="R672" s="4"/>
    </row>
    <row r="673" spans="2:18" x14ac:dyDescent="0.3">
      <c r="B673" s="4"/>
      <c r="D673" s="4"/>
      <c r="E673" s="4"/>
      <c r="Q673" s="4"/>
      <c r="R673" s="4"/>
    </row>
    <row r="674" spans="2:18" x14ac:dyDescent="0.3">
      <c r="B674" s="4"/>
      <c r="D674" s="4"/>
      <c r="E674" s="4"/>
      <c r="Q674" s="4"/>
      <c r="R674" s="4"/>
    </row>
    <row r="675" spans="2:18" x14ac:dyDescent="0.3">
      <c r="B675" s="4"/>
      <c r="D675" s="4"/>
      <c r="E675" s="4"/>
      <c r="Q675" s="4"/>
      <c r="R675" s="4"/>
    </row>
    <row r="676" spans="2:18" x14ac:dyDescent="0.3">
      <c r="B676" s="4"/>
      <c r="D676" s="4"/>
      <c r="E676" s="4"/>
      <c r="Q676" s="4"/>
      <c r="R676" s="4"/>
    </row>
    <row r="677" spans="2:18" x14ac:dyDescent="0.3">
      <c r="B677" s="4"/>
      <c r="D677" s="4"/>
      <c r="E677" s="4"/>
      <c r="Q677" s="4"/>
      <c r="R677" s="4"/>
    </row>
    <row r="678" spans="2:18" x14ac:dyDescent="0.3">
      <c r="B678" s="4"/>
      <c r="D678" s="4"/>
      <c r="E678" s="4"/>
      <c r="Q678" s="4"/>
      <c r="R678" s="4"/>
    </row>
    <row r="679" spans="2:18" x14ac:dyDescent="0.3">
      <c r="B679" s="4"/>
      <c r="D679" s="4"/>
      <c r="E679" s="4"/>
      <c r="Q679" s="4"/>
      <c r="R679" s="4"/>
    </row>
    <row r="680" spans="2:18" x14ac:dyDescent="0.3">
      <c r="B680" s="4"/>
      <c r="D680" s="4"/>
      <c r="E680" s="4"/>
      <c r="Q680" s="4"/>
      <c r="R680" s="4"/>
    </row>
    <row r="681" spans="2:18" x14ac:dyDescent="0.3">
      <c r="B681" s="4"/>
      <c r="D681" s="4"/>
      <c r="E681" s="4"/>
      <c r="Q681" s="4"/>
      <c r="R681" s="4"/>
    </row>
    <row r="682" spans="2:18" x14ac:dyDescent="0.3">
      <c r="B682" s="4"/>
      <c r="D682" s="4"/>
      <c r="E682" s="4"/>
      <c r="Q682" s="4"/>
      <c r="R682" s="4"/>
    </row>
    <row r="683" spans="2:18" x14ac:dyDescent="0.3">
      <c r="B683" s="4"/>
      <c r="D683" s="4"/>
      <c r="E683" s="4"/>
      <c r="Q683" s="4"/>
      <c r="R683" s="4"/>
    </row>
    <row r="684" spans="2:18" x14ac:dyDescent="0.3">
      <c r="B684" s="4"/>
      <c r="D684" s="4"/>
      <c r="E684" s="4"/>
      <c r="Q684" s="4"/>
      <c r="R684" s="4"/>
    </row>
    <row r="685" spans="2:18" x14ac:dyDescent="0.3">
      <c r="B685" s="4"/>
      <c r="D685" s="4"/>
      <c r="E685" s="4"/>
      <c r="Q685" s="4"/>
      <c r="R685" s="4"/>
    </row>
    <row r="686" spans="2:18" x14ac:dyDescent="0.3">
      <c r="B686" s="4"/>
      <c r="D686" s="4"/>
      <c r="E686" s="4"/>
      <c r="Q686" s="4"/>
      <c r="R686" s="4"/>
    </row>
    <row r="687" spans="2:18" x14ac:dyDescent="0.3">
      <c r="B687" s="4"/>
      <c r="D687" s="4"/>
      <c r="E687" s="4"/>
      <c r="Q687" s="4"/>
      <c r="R687" s="4"/>
    </row>
    <row r="688" spans="2:18" x14ac:dyDescent="0.3">
      <c r="B688" s="4"/>
      <c r="D688" s="4"/>
      <c r="E688" s="4"/>
      <c r="Q688" s="4"/>
      <c r="R688" s="4"/>
    </row>
    <row r="689" spans="2:18" x14ac:dyDescent="0.3">
      <c r="B689" s="4"/>
      <c r="D689" s="4"/>
      <c r="E689" s="4"/>
      <c r="Q689" s="4"/>
      <c r="R689" s="4"/>
    </row>
    <row r="690" spans="2:18" x14ac:dyDescent="0.3">
      <c r="B690" s="4"/>
      <c r="D690" s="4"/>
      <c r="E690" s="4"/>
      <c r="Q690" s="4"/>
      <c r="R690" s="4"/>
    </row>
    <row r="691" spans="2:18" x14ac:dyDescent="0.3">
      <c r="B691" s="4"/>
      <c r="D691" s="4"/>
      <c r="E691" s="4"/>
      <c r="Q691" s="4"/>
      <c r="R691" s="4"/>
    </row>
    <row r="692" spans="2:18" x14ac:dyDescent="0.3">
      <c r="B692" s="4"/>
      <c r="D692" s="4"/>
      <c r="E692" s="4"/>
      <c r="Q692" s="4"/>
      <c r="R692" s="4"/>
    </row>
    <row r="693" spans="2:18" x14ac:dyDescent="0.3">
      <c r="B693" s="4"/>
      <c r="D693" s="4"/>
      <c r="E693" s="4"/>
      <c r="Q693" s="4"/>
      <c r="R693" s="4"/>
    </row>
    <row r="694" spans="2:18" x14ac:dyDescent="0.3">
      <c r="B694" s="4"/>
      <c r="D694" s="4"/>
      <c r="E694" s="4"/>
      <c r="Q694" s="4"/>
      <c r="R694" s="4"/>
    </row>
    <row r="695" spans="2:18" x14ac:dyDescent="0.3">
      <c r="B695" s="4"/>
      <c r="D695" s="4"/>
      <c r="E695" s="4"/>
      <c r="Q695" s="4"/>
      <c r="R695" s="4"/>
    </row>
    <row r="696" spans="2:18" x14ac:dyDescent="0.3">
      <c r="B696" s="4"/>
      <c r="D696" s="4"/>
      <c r="E696" s="4"/>
      <c r="Q696" s="4"/>
      <c r="R696" s="4"/>
    </row>
    <row r="697" spans="2:18" x14ac:dyDescent="0.3">
      <c r="B697" s="4"/>
      <c r="D697" s="4"/>
      <c r="E697" s="4"/>
      <c r="Q697" s="4"/>
      <c r="R697" s="4"/>
    </row>
    <row r="698" spans="2:18" x14ac:dyDescent="0.3">
      <c r="B698" s="4"/>
      <c r="D698" s="4"/>
      <c r="E698" s="4"/>
      <c r="Q698" s="4"/>
      <c r="R698" s="4"/>
    </row>
    <row r="699" spans="2:18" x14ac:dyDescent="0.3">
      <c r="B699" s="4"/>
      <c r="D699" s="4"/>
      <c r="E699" s="4"/>
      <c r="Q699" s="4"/>
      <c r="R699" s="4"/>
    </row>
    <row r="700" spans="2:18" x14ac:dyDescent="0.3">
      <c r="B700" s="4"/>
      <c r="D700" s="4"/>
      <c r="E700" s="4"/>
      <c r="Q700" s="4"/>
      <c r="R700" s="4"/>
    </row>
    <row r="701" spans="2:18" x14ac:dyDescent="0.3">
      <c r="B701" s="4"/>
      <c r="D701" s="4"/>
      <c r="E701" s="4"/>
      <c r="Q701" s="4"/>
      <c r="R701" s="4"/>
    </row>
    <row r="702" spans="2:18" x14ac:dyDescent="0.3">
      <c r="B702" s="4"/>
      <c r="D702" s="4"/>
      <c r="E702" s="4"/>
      <c r="Q702" s="4"/>
      <c r="R702" s="4"/>
    </row>
    <row r="703" spans="2:18" x14ac:dyDescent="0.3">
      <c r="B703" s="4"/>
      <c r="D703" s="4"/>
      <c r="E703" s="4"/>
      <c r="Q703" s="4"/>
      <c r="R703" s="4"/>
    </row>
    <row r="704" spans="2:18" x14ac:dyDescent="0.3">
      <c r="B704" s="4"/>
      <c r="D704" s="4"/>
      <c r="E704" s="4"/>
      <c r="Q704" s="4"/>
      <c r="R704" s="4"/>
    </row>
    <row r="705" spans="2:18" x14ac:dyDescent="0.3">
      <c r="B705" s="4"/>
      <c r="D705" s="4"/>
      <c r="E705" s="4"/>
      <c r="Q705" s="4"/>
      <c r="R705" s="4"/>
    </row>
    <row r="706" spans="2:18" x14ac:dyDescent="0.3">
      <c r="B706" s="4"/>
      <c r="D706" s="4"/>
      <c r="E706" s="4"/>
      <c r="Q706" s="4"/>
      <c r="R706" s="4"/>
    </row>
    <row r="707" spans="2:18" x14ac:dyDescent="0.3">
      <c r="B707" s="4"/>
      <c r="D707" s="4"/>
      <c r="E707" s="4"/>
      <c r="Q707" s="4"/>
      <c r="R707" s="4"/>
    </row>
    <row r="708" spans="2:18" x14ac:dyDescent="0.3">
      <c r="B708" s="4"/>
      <c r="D708" s="4"/>
      <c r="E708" s="4"/>
      <c r="Q708" s="4"/>
      <c r="R708" s="4"/>
    </row>
    <row r="709" spans="2:18" x14ac:dyDescent="0.3">
      <c r="B709" s="4"/>
      <c r="D709" s="4"/>
      <c r="E709" s="4"/>
      <c r="Q709" s="4"/>
      <c r="R709" s="4"/>
    </row>
    <row r="710" spans="2:18" x14ac:dyDescent="0.3">
      <c r="B710" s="4"/>
      <c r="D710" s="4"/>
      <c r="E710" s="4"/>
      <c r="Q710" s="4"/>
      <c r="R710" s="4"/>
    </row>
    <row r="711" spans="2:18" x14ac:dyDescent="0.3">
      <c r="B711" s="4"/>
      <c r="D711" s="4"/>
      <c r="E711" s="4"/>
      <c r="Q711" s="4"/>
      <c r="R711" s="4"/>
    </row>
    <row r="712" spans="2:18" x14ac:dyDescent="0.3">
      <c r="B712" s="4"/>
      <c r="D712" s="4"/>
      <c r="E712" s="4"/>
      <c r="Q712" s="4"/>
      <c r="R712" s="4"/>
    </row>
    <row r="713" spans="2:18" x14ac:dyDescent="0.3">
      <c r="B713" s="4"/>
      <c r="D713" s="4"/>
      <c r="E713" s="4"/>
      <c r="Q713" s="4"/>
      <c r="R713" s="4"/>
    </row>
    <row r="714" spans="2:18" x14ac:dyDescent="0.3">
      <c r="B714" s="4"/>
      <c r="D714" s="4"/>
      <c r="E714" s="4"/>
      <c r="Q714" s="4"/>
      <c r="R714" s="4"/>
    </row>
    <row r="715" spans="2:18" x14ac:dyDescent="0.3">
      <c r="B715" s="4"/>
      <c r="D715" s="4"/>
      <c r="E715" s="4"/>
      <c r="Q715" s="4"/>
      <c r="R715" s="4"/>
    </row>
    <row r="716" spans="2:18" x14ac:dyDescent="0.3">
      <c r="B716" s="4"/>
      <c r="D716" s="4"/>
      <c r="E716" s="4"/>
      <c r="Q716" s="4"/>
      <c r="R716" s="4"/>
    </row>
    <row r="717" spans="2:18" x14ac:dyDescent="0.3">
      <c r="B717" s="4"/>
      <c r="D717" s="4"/>
      <c r="E717" s="4"/>
      <c r="Q717" s="4"/>
      <c r="R717" s="4"/>
    </row>
    <row r="718" spans="2:18" x14ac:dyDescent="0.3">
      <c r="B718" s="4"/>
      <c r="D718" s="4"/>
      <c r="E718" s="4"/>
      <c r="Q718" s="4"/>
      <c r="R718" s="4"/>
    </row>
    <row r="719" spans="2:18" x14ac:dyDescent="0.3">
      <c r="B719" s="4"/>
      <c r="D719" s="4"/>
      <c r="E719" s="4"/>
      <c r="Q719" s="4"/>
      <c r="R719" s="4"/>
    </row>
    <row r="720" spans="2:18" x14ac:dyDescent="0.3">
      <c r="B720" s="4"/>
      <c r="D720" s="4"/>
      <c r="E720" s="4"/>
      <c r="Q720" s="4"/>
      <c r="R720" s="4"/>
    </row>
    <row r="721" spans="2:18" x14ac:dyDescent="0.3">
      <c r="B721" s="4"/>
      <c r="D721" s="4"/>
      <c r="E721" s="4"/>
      <c r="Q721" s="4"/>
      <c r="R721" s="4"/>
    </row>
    <row r="722" spans="2:18" x14ac:dyDescent="0.3">
      <c r="B722" s="4"/>
      <c r="D722" s="4"/>
      <c r="E722" s="4"/>
      <c r="Q722" s="4"/>
      <c r="R722" s="4"/>
    </row>
    <row r="723" spans="2:18" x14ac:dyDescent="0.3">
      <c r="B723" s="4"/>
      <c r="D723" s="4"/>
      <c r="E723" s="4"/>
      <c r="Q723" s="4"/>
      <c r="R723" s="4"/>
    </row>
    <row r="724" spans="2:18" x14ac:dyDescent="0.3">
      <c r="B724" s="4"/>
      <c r="D724" s="4"/>
      <c r="E724" s="4"/>
      <c r="Q724" s="4"/>
      <c r="R724" s="4"/>
    </row>
    <row r="725" spans="2:18" x14ac:dyDescent="0.3">
      <c r="B725" s="4"/>
      <c r="D725" s="4"/>
      <c r="E725" s="4"/>
      <c r="Q725" s="4"/>
      <c r="R725" s="4"/>
    </row>
    <row r="726" spans="2:18" x14ac:dyDescent="0.3">
      <c r="B726" s="4"/>
      <c r="D726" s="4"/>
      <c r="E726" s="4"/>
      <c r="Q726" s="4"/>
      <c r="R726" s="4"/>
    </row>
    <row r="727" spans="2:18" x14ac:dyDescent="0.3">
      <c r="B727" s="4"/>
      <c r="D727" s="4"/>
      <c r="E727" s="4"/>
      <c r="Q727" s="4"/>
      <c r="R727" s="4"/>
    </row>
    <row r="728" spans="2:18" x14ac:dyDescent="0.3">
      <c r="B728" s="4"/>
      <c r="D728" s="4"/>
      <c r="E728" s="4"/>
      <c r="Q728" s="4"/>
      <c r="R728" s="4"/>
    </row>
    <row r="729" spans="2:18" x14ac:dyDescent="0.3">
      <c r="B729" s="4"/>
      <c r="D729" s="4"/>
      <c r="E729" s="4"/>
      <c r="Q729" s="4"/>
      <c r="R729" s="4"/>
    </row>
    <row r="730" spans="2:18" x14ac:dyDescent="0.3">
      <c r="B730" s="4"/>
      <c r="D730" s="4"/>
      <c r="E730" s="4"/>
      <c r="Q730" s="4"/>
      <c r="R730" s="4"/>
    </row>
    <row r="731" spans="2:18" x14ac:dyDescent="0.3">
      <c r="B731" s="4"/>
      <c r="D731" s="4"/>
      <c r="E731" s="4"/>
      <c r="Q731" s="4"/>
      <c r="R731" s="4"/>
    </row>
  </sheetData>
  <autoFilter ref="A1:T307" xr:uid="{56C22311-D7BA-4F3B-A06B-1B910C6A36BF}"/>
  <sortState xmlns:xlrd2="http://schemas.microsoft.com/office/spreadsheetml/2017/richdata2" ref="A2:T307">
    <sortCondition ref="A2:A307"/>
  </sortState>
  <dataValidations count="1">
    <dataValidation type="whole" allowBlank="1" showInputMessage="1" showErrorMessage="1" errorTitle="Invalid entry" error="Enter a whole number between 0 and 5." sqref="Q2:Q307" xr:uid="{04B2C2D1-B162-4C8A-8273-20BEBAEE683A}">
      <formula1>0</formula1>
      <formula2>5</formula2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EF63-2FDD-4249-9E91-DD736E2EE245}">
  <dimension ref="A1:B18"/>
  <sheetViews>
    <sheetView workbookViewId="0">
      <selection activeCell="D42" sqref="D42"/>
    </sheetView>
  </sheetViews>
  <sheetFormatPr defaultRowHeight="14.4" x14ac:dyDescent="0.3"/>
  <cols>
    <col min="1" max="1" width="30.77734375" bestFit="1" customWidth="1"/>
    <col min="2" max="2" width="24.88671875" bestFit="1" customWidth="1"/>
    <col min="3" max="3" width="6.33203125" bestFit="1" customWidth="1"/>
    <col min="4" max="4" width="8.33203125" customWidth="1"/>
    <col min="5" max="5" width="8.6640625" bestFit="1" customWidth="1"/>
    <col min="6" max="6" width="10.33203125" bestFit="1" customWidth="1"/>
    <col min="7" max="8" width="7.88671875" bestFit="1" customWidth="1"/>
    <col min="9" max="9" width="9.77734375" bestFit="1" customWidth="1"/>
    <col min="10" max="10" width="7.77734375" bestFit="1" customWidth="1"/>
    <col min="11" max="11" width="7.88671875" bestFit="1" customWidth="1"/>
    <col min="12" max="12" width="7.5546875" bestFit="1" customWidth="1"/>
    <col min="13" max="13" width="9.44140625" bestFit="1" customWidth="1"/>
    <col min="14" max="14" width="12.88671875" bestFit="1" customWidth="1"/>
    <col min="15" max="15" width="6.6640625" bestFit="1" customWidth="1"/>
    <col min="16" max="16" width="13.5546875" bestFit="1" customWidth="1"/>
    <col min="17" max="17" width="7" bestFit="1" customWidth="1"/>
    <col min="18" max="18" width="13.5546875" bestFit="1" customWidth="1"/>
    <col min="19" max="19" width="8.109375" bestFit="1" customWidth="1"/>
    <col min="20" max="20" width="10.77734375" bestFit="1" customWidth="1"/>
  </cols>
  <sheetData>
    <row r="1" spans="1:2" x14ac:dyDescent="0.3">
      <c r="A1" s="11" t="s">
        <v>39</v>
      </c>
      <c r="B1" t="s">
        <v>293</v>
      </c>
    </row>
    <row r="3" spans="1:2" x14ac:dyDescent="0.3">
      <c r="A3" s="11" t="s">
        <v>277</v>
      </c>
      <c r="B3" t="s">
        <v>278</v>
      </c>
    </row>
    <row r="4" spans="1:2" x14ac:dyDescent="0.3">
      <c r="A4" s="12" t="s">
        <v>276</v>
      </c>
      <c r="B4" s="41">
        <v>13279.0285</v>
      </c>
    </row>
    <row r="5" spans="1:2" x14ac:dyDescent="0.3">
      <c r="A5" s="37" t="s">
        <v>17</v>
      </c>
      <c r="B5" s="41">
        <v>1141.4000000000001</v>
      </c>
    </row>
    <row r="6" spans="1:2" x14ac:dyDescent="0.3">
      <c r="A6" s="37" t="s">
        <v>13</v>
      </c>
      <c r="B6" s="41">
        <v>1018.5300000000001</v>
      </c>
    </row>
    <row r="7" spans="1:2" x14ac:dyDescent="0.3">
      <c r="A7" s="37" t="s">
        <v>31</v>
      </c>
      <c r="B7" s="41">
        <v>1331.0400000000002</v>
      </c>
    </row>
    <row r="8" spans="1:2" x14ac:dyDescent="0.3">
      <c r="A8" s="37" t="s">
        <v>29</v>
      </c>
      <c r="B8" s="41">
        <v>1547.04</v>
      </c>
    </row>
    <row r="9" spans="1:2" x14ac:dyDescent="0.3">
      <c r="A9" s="37" t="s">
        <v>10</v>
      </c>
      <c r="B9" s="41">
        <v>809.2</v>
      </c>
    </row>
    <row r="10" spans="1:2" x14ac:dyDescent="0.3">
      <c r="A10" s="37" t="s">
        <v>22</v>
      </c>
      <c r="B10" s="41">
        <v>867.45</v>
      </c>
    </row>
    <row r="11" spans="1:2" x14ac:dyDescent="0.3">
      <c r="A11" s="37" t="s">
        <v>24</v>
      </c>
      <c r="B11" s="41">
        <v>970.27500000000009</v>
      </c>
    </row>
    <row r="12" spans="1:2" x14ac:dyDescent="0.3">
      <c r="A12" s="37" t="s">
        <v>33</v>
      </c>
      <c r="B12" s="41">
        <v>1338.6</v>
      </c>
    </row>
    <row r="13" spans="1:2" x14ac:dyDescent="0.3">
      <c r="A13" s="37" t="s">
        <v>6</v>
      </c>
      <c r="B13" s="41">
        <v>690.97349999999994</v>
      </c>
    </row>
    <row r="14" spans="1:2" x14ac:dyDescent="0.3">
      <c r="A14" s="37" t="s">
        <v>26</v>
      </c>
      <c r="B14" s="41">
        <v>1001.92</v>
      </c>
    </row>
    <row r="15" spans="1:2" x14ac:dyDescent="0.3">
      <c r="A15" s="37" t="s">
        <v>20</v>
      </c>
      <c r="B15" s="41">
        <v>849.97500000000002</v>
      </c>
    </row>
    <row r="16" spans="1:2" x14ac:dyDescent="0.3">
      <c r="A16" s="37" t="s">
        <v>8</v>
      </c>
      <c r="B16" s="41">
        <v>808.60500000000002</v>
      </c>
    </row>
    <row r="17" spans="1:2" x14ac:dyDescent="0.3">
      <c r="A17" s="37" t="s">
        <v>15</v>
      </c>
      <c r="B17" s="41">
        <v>904.0200000000001</v>
      </c>
    </row>
    <row r="18" spans="1:2" x14ac:dyDescent="0.3">
      <c r="A18" s="12" t="s">
        <v>64</v>
      </c>
      <c r="B18" s="41">
        <v>13279.0285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D48D-DADD-4130-8FFD-671CDB192FAE}">
  <sheetPr codeName="Sheet4"/>
  <dimension ref="A3:C28"/>
  <sheetViews>
    <sheetView zoomScale="130" zoomScaleNormal="130" workbookViewId="0">
      <selection activeCell="D29" sqref="D29"/>
    </sheetView>
  </sheetViews>
  <sheetFormatPr defaultRowHeight="14.4" x14ac:dyDescent="0.3"/>
  <cols>
    <col min="1" max="1" width="13.21875" bestFit="1" customWidth="1"/>
    <col min="2" max="3" width="15.21875" customWidth="1"/>
    <col min="4" max="4" width="11.21875" bestFit="1" customWidth="1"/>
  </cols>
  <sheetData>
    <row r="3" spans="1:3" x14ac:dyDescent="0.3">
      <c r="A3" s="11" t="s">
        <v>39</v>
      </c>
      <c r="B3" t="s">
        <v>125</v>
      </c>
      <c r="C3" t="s">
        <v>126</v>
      </c>
    </row>
    <row r="4" spans="1:3" x14ac:dyDescent="0.3">
      <c r="A4" s="12" t="s">
        <v>47</v>
      </c>
      <c r="B4">
        <v>14</v>
      </c>
      <c r="C4" s="41">
        <v>802.26599999999996</v>
      </c>
    </row>
    <row r="5" spans="1:3" x14ac:dyDescent="0.3">
      <c r="A5" s="12" t="s">
        <v>48</v>
      </c>
      <c r="B5">
        <v>12</v>
      </c>
      <c r="C5" s="41">
        <v>548.90250000000015</v>
      </c>
    </row>
    <row r="6" spans="1:3" x14ac:dyDescent="0.3">
      <c r="A6" s="12" t="s">
        <v>49</v>
      </c>
      <c r="B6">
        <v>13</v>
      </c>
      <c r="C6" s="41">
        <v>579.45899999999995</v>
      </c>
    </row>
    <row r="7" spans="1:3" x14ac:dyDescent="0.3">
      <c r="A7" s="12" t="s">
        <v>50</v>
      </c>
      <c r="B7">
        <v>12</v>
      </c>
      <c r="C7" s="41">
        <v>419.53499999999997</v>
      </c>
    </row>
    <row r="8" spans="1:3" x14ac:dyDescent="0.3">
      <c r="A8" s="12" t="s">
        <v>51</v>
      </c>
      <c r="B8">
        <v>24</v>
      </c>
      <c r="C8" s="41">
        <v>1138.0364999999999</v>
      </c>
    </row>
    <row r="9" spans="1:3" x14ac:dyDescent="0.3">
      <c r="A9" s="12" t="s">
        <v>52</v>
      </c>
      <c r="B9">
        <v>16</v>
      </c>
      <c r="C9" s="41">
        <v>568.15699999999993</v>
      </c>
    </row>
    <row r="10" spans="1:3" x14ac:dyDescent="0.3">
      <c r="A10" s="12" t="s">
        <v>53</v>
      </c>
      <c r="B10">
        <v>25</v>
      </c>
      <c r="C10" s="41">
        <v>1058.3525</v>
      </c>
    </row>
    <row r="11" spans="1:3" x14ac:dyDescent="0.3">
      <c r="A11" s="12" t="s">
        <v>54</v>
      </c>
      <c r="B11">
        <v>42</v>
      </c>
      <c r="C11" s="41">
        <v>1910.9475</v>
      </c>
    </row>
    <row r="12" spans="1:3" x14ac:dyDescent="0.3">
      <c r="A12" s="12" t="s">
        <v>55</v>
      </c>
      <c r="B12">
        <v>14</v>
      </c>
      <c r="C12" s="41">
        <v>679.69500000000005</v>
      </c>
    </row>
    <row r="13" spans="1:3" x14ac:dyDescent="0.3">
      <c r="A13" s="12" t="s">
        <v>56</v>
      </c>
      <c r="B13">
        <v>44</v>
      </c>
      <c r="C13" s="41">
        <v>1931.7545</v>
      </c>
    </row>
    <row r="14" spans="1:3" x14ac:dyDescent="0.3">
      <c r="A14" s="12" t="s">
        <v>57</v>
      </c>
      <c r="B14">
        <v>12</v>
      </c>
      <c r="C14" s="41">
        <v>471.2285</v>
      </c>
    </row>
    <row r="15" spans="1:3" x14ac:dyDescent="0.3">
      <c r="A15" s="12" t="s">
        <v>58</v>
      </c>
      <c r="B15">
        <v>12</v>
      </c>
      <c r="C15" s="41">
        <v>445.59500000000003</v>
      </c>
    </row>
    <row r="16" spans="1:3" x14ac:dyDescent="0.3">
      <c r="A16" s="12" t="s">
        <v>59</v>
      </c>
      <c r="B16">
        <v>10</v>
      </c>
      <c r="C16" s="41">
        <v>359.38250000000005</v>
      </c>
    </row>
    <row r="17" spans="1:3" x14ac:dyDescent="0.3">
      <c r="A17" s="12" t="s">
        <v>60</v>
      </c>
      <c r="B17">
        <v>12</v>
      </c>
      <c r="C17" s="41">
        <v>429.47750000000002</v>
      </c>
    </row>
    <row r="18" spans="1:3" x14ac:dyDescent="0.3">
      <c r="A18" s="12" t="s">
        <v>61</v>
      </c>
      <c r="B18">
        <v>14</v>
      </c>
      <c r="C18" s="41">
        <v>495.05099999999999</v>
      </c>
    </row>
    <row r="19" spans="1:3" x14ac:dyDescent="0.3">
      <c r="A19" s="12" t="s">
        <v>62</v>
      </c>
      <c r="B19">
        <v>10</v>
      </c>
      <c r="C19" s="41">
        <v>447.49250000000001</v>
      </c>
    </row>
    <row r="20" spans="1:3" x14ac:dyDescent="0.3">
      <c r="A20" s="12" t="s">
        <v>63</v>
      </c>
      <c r="B20">
        <v>12</v>
      </c>
      <c r="C20" s="41">
        <v>688.9615</v>
      </c>
    </row>
    <row r="21" spans="1:3" x14ac:dyDescent="0.3">
      <c r="A21" s="12" t="s">
        <v>300</v>
      </c>
      <c r="B21">
        <v>8</v>
      </c>
      <c r="C21" s="41">
        <v>304.73450000000003</v>
      </c>
    </row>
    <row r="22" spans="1:3" x14ac:dyDescent="0.3">
      <c r="A22" s="12" t="s">
        <v>64</v>
      </c>
      <c r="B22">
        <v>306</v>
      </c>
      <c r="C22" s="41">
        <v>13279.0285</v>
      </c>
    </row>
    <row r="26" spans="1:3" ht="25.8" x14ac:dyDescent="0.5">
      <c r="A26" s="47" t="s">
        <v>88</v>
      </c>
      <c r="B26" s="47"/>
      <c r="C26" s="47"/>
    </row>
    <row r="27" spans="1:3" ht="25.95" customHeight="1" x14ac:dyDescent="0.3">
      <c r="A27" s="26" t="s">
        <v>39</v>
      </c>
      <c r="B27" s="26" t="s">
        <v>128</v>
      </c>
      <c r="C27" s="26" t="s">
        <v>127</v>
      </c>
    </row>
    <row r="28" spans="1:3" ht="28.5" customHeight="1" x14ac:dyDescent="0.3">
      <c r="A28" s="25"/>
      <c r="B28" s="27"/>
      <c r="C28" s="27"/>
    </row>
  </sheetData>
  <mergeCells count="1">
    <mergeCell ref="A26:C26"/>
  </mergeCells>
  <conditionalFormatting pivot="1" sqref="C4:C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{9D1B8486-D807-4795-9B04-766ED403068A}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D1B8486-D807-4795-9B04-766ED4030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EF97-024D-4C11-9F7F-4FEADE26D69A}">
  <dimension ref="A1:F4"/>
  <sheetViews>
    <sheetView tabSelected="1" workbookViewId="0">
      <selection activeCell="F34" sqref="F34"/>
    </sheetView>
  </sheetViews>
  <sheetFormatPr defaultRowHeight="14.4" x14ac:dyDescent="0.3"/>
  <cols>
    <col min="1" max="1" width="25.6640625" bestFit="1" customWidth="1"/>
    <col min="2" max="2" width="15.5546875" bestFit="1" customWidth="1"/>
    <col min="3" max="3" width="3.21875" bestFit="1" customWidth="1"/>
    <col min="4" max="4" width="4.33203125" bestFit="1" customWidth="1"/>
    <col min="5" max="5" width="4.109375" bestFit="1" customWidth="1"/>
    <col min="6" max="6" width="10.77734375" bestFit="1" customWidth="1"/>
    <col min="7" max="9" width="7.5546875" bestFit="1" customWidth="1"/>
    <col min="10" max="28" width="8.5546875" bestFit="1" customWidth="1"/>
    <col min="29" max="37" width="6.88671875" bestFit="1" customWidth="1"/>
    <col min="38" max="57" width="7.88671875" bestFit="1" customWidth="1"/>
    <col min="58" max="66" width="8" bestFit="1" customWidth="1"/>
    <col min="67" max="84" width="9" bestFit="1" customWidth="1"/>
    <col min="85" max="92" width="7.77734375" bestFit="1" customWidth="1"/>
    <col min="93" max="113" width="8.77734375" bestFit="1" customWidth="1"/>
    <col min="114" max="114" width="10.77734375" bestFit="1" customWidth="1"/>
  </cols>
  <sheetData>
    <row r="1" spans="1:6" x14ac:dyDescent="0.3">
      <c r="A1" s="11" t="s">
        <v>303</v>
      </c>
      <c r="B1" s="11" t="s">
        <v>302</v>
      </c>
    </row>
    <row r="2" spans="1:6" x14ac:dyDescent="0.3">
      <c r="A2" s="11" t="s">
        <v>301</v>
      </c>
      <c r="B2" s="4" t="s">
        <v>304</v>
      </c>
      <c r="C2" s="4" t="s">
        <v>305</v>
      </c>
      <c r="D2" s="4" t="s">
        <v>306</v>
      </c>
      <c r="E2" s="4" t="s">
        <v>307</v>
      </c>
      <c r="F2" s="4" t="s">
        <v>64</v>
      </c>
    </row>
    <row r="3" spans="1:6" x14ac:dyDescent="0.3">
      <c r="A3" s="12" t="s">
        <v>296</v>
      </c>
      <c r="B3">
        <v>73</v>
      </c>
      <c r="C3">
        <v>71</v>
      </c>
      <c r="D3">
        <v>81</v>
      </c>
      <c r="E3">
        <v>81</v>
      </c>
      <c r="F3">
        <v>306</v>
      </c>
    </row>
    <row r="4" spans="1:6" x14ac:dyDescent="0.3">
      <c r="A4" s="12" t="s">
        <v>64</v>
      </c>
      <c r="B4">
        <v>73</v>
      </c>
      <c r="C4">
        <v>71</v>
      </c>
      <c r="D4">
        <v>81</v>
      </c>
      <c r="E4">
        <v>81</v>
      </c>
      <c r="F4">
        <v>306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9F81-7C8E-4A2D-99CB-DE0A4D55E769}">
  <sheetPr codeName="Sheet10"/>
  <dimension ref="A1:B14"/>
  <sheetViews>
    <sheetView zoomScale="130" zoomScaleNormal="130" workbookViewId="0">
      <selection activeCell="B17" sqref="B17"/>
    </sheetView>
  </sheetViews>
  <sheetFormatPr defaultRowHeight="14.4" x14ac:dyDescent="0.3"/>
  <cols>
    <col min="1" max="1" width="30.21875" customWidth="1"/>
    <col min="2" max="2" width="24.109375" customWidth="1"/>
  </cols>
  <sheetData>
    <row r="1" spans="1:2" ht="38.549999999999997" customHeight="1" x14ac:dyDescent="0.4">
      <c r="A1" s="18" t="s">
        <v>81</v>
      </c>
      <c r="B1" s="19"/>
    </row>
    <row r="2" spans="1:2" x14ac:dyDescent="0.3">
      <c r="A2" t="s">
        <v>82</v>
      </c>
      <c r="B2" s="1">
        <v>35895</v>
      </c>
    </row>
    <row r="3" spans="1:2" x14ac:dyDescent="0.3">
      <c r="A3" t="s">
        <v>83</v>
      </c>
      <c r="B3" s="8">
        <v>7.0000000000000007E-2</v>
      </c>
    </row>
    <row r="4" spans="1:2" x14ac:dyDescent="0.3">
      <c r="A4" t="s">
        <v>84</v>
      </c>
      <c r="B4" s="38"/>
    </row>
    <row r="5" spans="1:2" x14ac:dyDescent="0.3">
      <c r="A5" t="s">
        <v>85</v>
      </c>
      <c r="B5" s="21">
        <v>-1200</v>
      </c>
    </row>
    <row r="8" spans="1:2" ht="45" customHeight="1" x14ac:dyDescent="0.4">
      <c r="A8" s="18" t="s">
        <v>86</v>
      </c>
      <c r="B8" s="19"/>
    </row>
    <row r="9" spans="1:2" x14ac:dyDescent="0.3">
      <c r="A9" t="s">
        <v>87</v>
      </c>
      <c r="B9" s="1">
        <v>12500</v>
      </c>
    </row>
    <row r="10" spans="1:2" x14ac:dyDescent="0.3">
      <c r="A10" t="s">
        <v>83</v>
      </c>
      <c r="B10" s="8">
        <v>0.09</v>
      </c>
    </row>
    <row r="11" spans="1:2" x14ac:dyDescent="0.3">
      <c r="A11" t="s">
        <v>308</v>
      </c>
      <c r="B11" s="20">
        <v>2</v>
      </c>
    </row>
    <row r="12" spans="1:2" x14ac:dyDescent="0.3">
      <c r="A12" t="s">
        <v>309</v>
      </c>
      <c r="B12" s="45">
        <v>12</v>
      </c>
    </row>
    <row r="13" spans="1:2" x14ac:dyDescent="0.3">
      <c r="A13" t="s">
        <v>310</v>
      </c>
      <c r="B13" s="46" t="s">
        <v>311</v>
      </c>
    </row>
    <row r="14" spans="1:2" x14ac:dyDescent="0.3">
      <c r="A14" t="s">
        <v>85</v>
      </c>
      <c r="B14" s="2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C72B-9D5D-400B-BA4C-E934C5FA42E9}">
  <sheetPr codeName="Sheet11"/>
  <dimension ref="A1:E7"/>
  <sheetViews>
    <sheetView zoomScale="145" zoomScaleNormal="145" workbookViewId="0">
      <selection activeCell="D10" sqref="D10"/>
    </sheetView>
  </sheetViews>
  <sheetFormatPr defaultRowHeight="14.4" x14ac:dyDescent="0.3"/>
  <cols>
    <col min="1" max="1" width="19.77734375" customWidth="1"/>
    <col min="2" max="4" width="13.21875" customWidth="1"/>
    <col min="5" max="5" width="16.5546875" customWidth="1"/>
  </cols>
  <sheetData>
    <row r="1" spans="1:5" ht="28.5" customHeight="1" x14ac:dyDescent="0.3">
      <c r="A1" s="48" t="s">
        <v>89</v>
      </c>
      <c r="B1" s="48"/>
      <c r="C1" s="48"/>
      <c r="D1" s="48"/>
      <c r="E1" s="48"/>
    </row>
    <row r="2" spans="1:5" ht="58.5" customHeight="1" thickBot="1" x14ac:dyDescent="0.35">
      <c r="A2" s="13" t="s">
        <v>73</v>
      </c>
      <c r="B2" s="14" t="s">
        <v>74</v>
      </c>
      <c r="C2" s="14" t="s">
        <v>75</v>
      </c>
      <c r="D2" s="14" t="s">
        <v>76</v>
      </c>
      <c r="E2" s="15" t="s">
        <v>77</v>
      </c>
    </row>
    <row r="3" spans="1:5" ht="15" thickTop="1" x14ac:dyDescent="0.3">
      <c r="A3" s="16" t="s">
        <v>78</v>
      </c>
      <c r="B3" s="1">
        <v>7892.5</v>
      </c>
      <c r="C3" s="1">
        <v>7970</v>
      </c>
      <c r="D3" s="1">
        <v>8049.96</v>
      </c>
      <c r="E3" s="7">
        <f>SUM(C3:D3)</f>
        <v>16019.96</v>
      </c>
    </row>
    <row r="4" spans="1:5" x14ac:dyDescent="0.3">
      <c r="A4" s="16" t="s">
        <v>18</v>
      </c>
      <c r="B4" s="1">
        <v>2075.5</v>
      </c>
      <c r="C4" s="1">
        <v>2095</v>
      </c>
      <c r="D4" s="1">
        <v>2115.81</v>
      </c>
      <c r="E4" s="7">
        <f t="shared" ref="E4:E6" si="0">SUM(B4:D4)</f>
        <v>6286.3099999999995</v>
      </c>
    </row>
    <row r="5" spans="1:5" x14ac:dyDescent="0.3">
      <c r="A5" s="16" t="s">
        <v>11</v>
      </c>
      <c r="B5" s="1">
        <v>3307</v>
      </c>
      <c r="C5" s="1">
        <v>3340.75</v>
      </c>
      <c r="D5" s="1">
        <v>3347.06</v>
      </c>
      <c r="E5" s="7">
        <f t="shared" si="0"/>
        <v>9994.81</v>
      </c>
    </row>
    <row r="6" spans="1:5" x14ac:dyDescent="0.3">
      <c r="A6" s="16" t="s">
        <v>79</v>
      </c>
      <c r="B6" s="1">
        <v>2280</v>
      </c>
      <c r="C6" s="1">
        <v>2302.8000000000002</v>
      </c>
      <c r="D6" s="1">
        <v>2325.81</v>
      </c>
      <c r="E6" s="7">
        <f t="shared" si="0"/>
        <v>6908.6100000000006</v>
      </c>
    </row>
    <row r="7" spans="1:5" x14ac:dyDescent="0.3">
      <c r="A7" s="16" t="s">
        <v>80</v>
      </c>
      <c r="B7" s="1"/>
      <c r="C7" s="1"/>
      <c r="D7" s="1"/>
      <c r="E7" s="17">
        <f>SUM(E3:E6)</f>
        <v>39209.689999999995</v>
      </c>
    </row>
  </sheetData>
  <mergeCells count="1">
    <mergeCell ref="A1:E1"/>
  </mergeCells>
  <pageMargins left="0.7" right="0.7" top="0.75" bottom="0.75" header="0.3" footer="0.3"/>
  <pageSetup orientation="portrait" r:id="rId1"/>
  <ignoredErrors>
    <ignoredError sqref="E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9983-EF3F-4E9B-8E6A-306EDA814D89}">
  <sheetPr codeName="Sheet13"/>
  <dimension ref="A1:B15"/>
  <sheetViews>
    <sheetView zoomScale="130" zoomScaleNormal="130" workbookViewId="0"/>
  </sheetViews>
  <sheetFormatPr defaultRowHeight="14.4" x14ac:dyDescent="0.3"/>
  <cols>
    <col min="1" max="1" width="25" bestFit="1" customWidth="1"/>
    <col min="2" max="2" width="19.21875" customWidth="1"/>
  </cols>
  <sheetData>
    <row r="1" spans="1:2" ht="21" x14ac:dyDescent="0.4">
      <c r="A1" s="36" t="s">
        <v>275</v>
      </c>
    </row>
    <row r="3" spans="1:2" x14ac:dyDescent="0.3">
      <c r="A3" s="10" t="s">
        <v>123</v>
      </c>
    </row>
    <row r="4" spans="1:2" x14ac:dyDescent="0.3">
      <c r="A4" t="s">
        <v>122</v>
      </c>
      <c r="B4" s="35">
        <v>24356</v>
      </c>
    </row>
    <row r="5" spans="1:2" x14ac:dyDescent="0.3">
      <c r="A5" t="s">
        <v>121</v>
      </c>
      <c r="B5" s="35">
        <v>12500</v>
      </c>
    </row>
    <row r="6" spans="1:2" x14ac:dyDescent="0.3">
      <c r="A6" t="s">
        <v>120</v>
      </c>
      <c r="B6" s="35">
        <v>8645</v>
      </c>
    </row>
    <row r="7" spans="1:2" x14ac:dyDescent="0.3">
      <c r="A7" s="10" t="s">
        <v>119</v>
      </c>
      <c r="B7" s="34">
        <f>SUM(B4:B6)</f>
        <v>45501</v>
      </c>
    </row>
    <row r="9" spans="1:2" x14ac:dyDescent="0.3">
      <c r="A9" s="10" t="s">
        <v>118</v>
      </c>
    </row>
    <row r="10" spans="1:2" x14ac:dyDescent="0.3">
      <c r="A10" t="s">
        <v>117</v>
      </c>
      <c r="B10" s="35">
        <v>-25460</v>
      </c>
    </row>
    <row r="11" spans="1:2" x14ac:dyDescent="0.3">
      <c r="A11" t="s">
        <v>116</v>
      </c>
      <c r="B11" s="35">
        <v>-3000</v>
      </c>
    </row>
    <row r="12" spans="1:2" x14ac:dyDescent="0.3">
      <c r="A12" t="s">
        <v>115</v>
      </c>
      <c r="B12" s="35">
        <v>-2500</v>
      </c>
    </row>
    <row r="13" spans="1:2" x14ac:dyDescent="0.3">
      <c r="A13" s="10" t="s">
        <v>114</v>
      </c>
      <c r="B13" s="34">
        <f>SUM(B10:B12)</f>
        <v>-30960</v>
      </c>
    </row>
    <row r="15" spans="1:2" x14ac:dyDescent="0.3">
      <c r="A15" s="10" t="s">
        <v>113</v>
      </c>
      <c r="B15" s="34">
        <f>B7+B13</f>
        <v>14541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7C32-D8B8-4AF1-84EC-FAF5C09BC328}">
  <sheetPr codeName="Sheet12"/>
  <dimension ref="B2:F12"/>
  <sheetViews>
    <sheetView zoomScale="130" zoomScaleNormal="130" workbookViewId="0">
      <selection activeCell="C13" sqref="C13"/>
    </sheetView>
  </sheetViews>
  <sheetFormatPr defaultRowHeight="14.4" x14ac:dyDescent="0.3"/>
  <cols>
    <col min="1" max="1" width="4.5546875" customWidth="1"/>
    <col min="2" max="2" width="31" bestFit="1" customWidth="1"/>
    <col min="3" max="3" width="20.33203125" customWidth="1"/>
    <col min="4" max="4" width="3.44140625" customWidth="1"/>
    <col min="5" max="5" width="22.33203125" bestFit="1" customWidth="1"/>
    <col min="6" max="6" width="17.109375" customWidth="1"/>
  </cols>
  <sheetData>
    <row r="2" spans="2:6" ht="21" x14ac:dyDescent="0.4">
      <c r="B2" s="19" t="s">
        <v>112</v>
      </c>
      <c r="C2" s="30"/>
    </row>
    <row r="3" spans="2:6" x14ac:dyDescent="0.3">
      <c r="C3" s="1"/>
    </row>
    <row r="4" spans="2:6" ht="43.2" x14ac:dyDescent="0.3">
      <c r="B4" t="s">
        <v>105</v>
      </c>
      <c r="C4">
        <v>850</v>
      </c>
      <c r="E4" s="33" t="s">
        <v>111</v>
      </c>
      <c r="F4" s="31">
        <f>C7</f>
        <v>5950</v>
      </c>
    </row>
    <row r="5" spans="2:6" x14ac:dyDescent="0.3">
      <c r="B5" t="s">
        <v>106</v>
      </c>
      <c r="C5" s="29">
        <v>0.35</v>
      </c>
      <c r="E5" s="29">
        <f>C5</f>
        <v>0.35</v>
      </c>
      <c r="F5" s="1">
        <f t="dataTable" ref="F5:F12" dt2D="0" dtr="0" r1="C5" ca="1"/>
        <v>5950</v>
      </c>
    </row>
    <row r="6" spans="2:6" x14ac:dyDescent="0.3">
      <c r="B6" t="s">
        <v>107</v>
      </c>
      <c r="C6" s="32">
        <v>20</v>
      </c>
      <c r="E6" s="28">
        <v>0.4</v>
      </c>
      <c r="F6" s="1">
        <v>6800</v>
      </c>
    </row>
    <row r="7" spans="2:6" x14ac:dyDescent="0.3">
      <c r="B7" s="10" t="s">
        <v>108</v>
      </c>
      <c r="C7" s="31">
        <f>C6*C5*C4</f>
        <v>5950</v>
      </c>
      <c r="E7" s="28">
        <v>0.45</v>
      </c>
      <c r="F7" s="1">
        <v>7650</v>
      </c>
    </row>
    <row r="8" spans="2:6" x14ac:dyDescent="0.3">
      <c r="B8" t="s">
        <v>109</v>
      </c>
      <c r="C8" s="32">
        <v>20</v>
      </c>
      <c r="E8" s="28">
        <v>0.5</v>
      </c>
      <c r="F8" s="1">
        <v>8500</v>
      </c>
    </row>
    <row r="9" spans="2:6" x14ac:dyDescent="0.3">
      <c r="B9" s="10" t="s">
        <v>110</v>
      </c>
      <c r="C9" s="31">
        <f>C8*(C4-100*C5)</f>
        <v>16300</v>
      </c>
      <c r="E9" s="28">
        <v>0.55000000000000004</v>
      </c>
      <c r="F9" s="1">
        <v>9350</v>
      </c>
    </row>
    <row r="10" spans="2:6" x14ac:dyDescent="0.3">
      <c r="E10" s="28">
        <v>0.6</v>
      </c>
      <c r="F10" s="1">
        <v>10200</v>
      </c>
    </row>
    <row r="11" spans="2:6" x14ac:dyDescent="0.3">
      <c r="E11" s="28">
        <v>0.65</v>
      </c>
      <c r="F11" s="1">
        <v>11050</v>
      </c>
    </row>
    <row r="12" spans="2:6" x14ac:dyDescent="0.3">
      <c r="E12" s="28">
        <v>0.7</v>
      </c>
      <c r="F12" s="1">
        <v>11900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60ED6F-EBE4-4628-BD14-2EA0F446F6A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B7005F4-0FAB-4B98-8EAF-199ACB3149F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ED628F-3691-4561-9930-A7BFBB9756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4F7924-E72F-411D-BBA2-9CAAE69DD7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OrderArrival</vt:lpstr>
      <vt:lpstr>Postal holidays 2022-2023</vt:lpstr>
      <vt:lpstr>Sales</vt:lpstr>
      <vt:lpstr>Sales Discounts</vt:lpstr>
      <vt:lpstr>Sales by City</vt:lpstr>
      <vt:lpstr>Frequency by County</vt:lpstr>
      <vt:lpstr>Financing</vt:lpstr>
      <vt:lpstr>Summer Sales Scenarios</vt:lpstr>
      <vt:lpstr>Revenue &amp; Costs</vt:lpstr>
      <vt:lpstr>Projected Sales</vt:lpstr>
      <vt:lpstr>PostalHolidays</vt:lpstr>
      <vt:lpstr>Product_ID</vt:lpstr>
      <vt:lpstr>ProductsData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2022-12-14T13:59:31Z</dcterms:created>
  <dcterms:modified xsi:type="dcterms:W3CDTF">2025-11-12T21:36:45Z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