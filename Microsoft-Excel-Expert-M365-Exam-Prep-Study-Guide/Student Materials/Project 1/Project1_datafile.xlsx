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defaultThemeVersion="166925"/>
  <xr:revisionPtr revIDLastSave="0" documentId="13_ncr:1_{E9EDD1A2-0CFF-4893-A5B0-9D890EEFEED6}" xr6:coauthVersionLast="47" xr6:coauthVersionMax="47" xr10:uidLastSave="{00000000-0000-0000-0000-000000000000}"/>
  <bookViews>
    <workbookView xWindow="-60" yWindow="-60" windowWidth="19320" windowHeight="11400" tabRatio="894" activeTab="1" xr2:uid="{38A76730-E5D1-4EAE-81D3-07B464AE736B}"/>
  </bookViews>
  <sheets>
    <sheet name="Salespeople" sheetId="7" r:id="rId1"/>
    <sheet name="Sales" sheetId="1" r:id="rId2"/>
    <sheet name="Products" sheetId="2" r:id="rId3"/>
    <sheet name="Honey Orders" sheetId="31" r:id="rId4"/>
    <sheet name="Honey Sold" sheetId="30" r:id="rId5"/>
    <sheet name="Customers" sheetId="3" r:id="rId6"/>
    <sheet name="Customers Report" sheetId="21" r:id="rId7"/>
    <sheet name="Customer Counties" sheetId="29" r:id="rId8"/>
    <sheet name="Sales Report" sheetId="14" r:id="rId9"/>
    <sheet name="Market Report" sheetId="34" r:id="rId10"/>
    <sheet name="List data" sheetId="15" r:id="rId11"/>
    <sheet name="Market Stall Projections" sheetId="36" r:id="rId12"/>
  </sheets>
  <externalReferences>
    <externalReference r:id="rId13"/>
    <externalReference r:id="rId14"/>
    <externalReference r:id="rId15"/>
  </externalReferences>
  <definedNames>
    <definedName name="_xlnm._FilterDatabase" localSheetId="5" hidden="1">'Customers'!$A$1:$M$146</definedName>
    <definedName name="_xlnm._FilterDatabase" localSheetId="1" hidden="1">Sales!$A$1:$P$307</definedName>
    <definedName name="_xlchart.v5.0" hidden="1">'Customer Counties'!$B$2</definedName>
    <definedName name="_xlchart.v5.1" hidden="1">'Customer Counties'!$B$3:$B$20</definedName>
    <definedName name="_xlchart.v5.2" hidden="1">'Customer Counties'!$D$2</definedName>
    <definedName name="_xlchart.v5.3" hidden="1">'Customer Counties'!$D$3:$D$20</definedName>
    <definedName name="Cities" localSheetId="11">'[1]List data'!$A$2:$A$19</definedName>
    <definedName name="Cities">'List data'!$A$2:$A$19</definedName>
    <definedName name="City" localSheetId="11">#REF!</definedName>
    <definedName name="City">#REF!</definedName>
    <definedName name="Product_ID">[2]Products!$B$2:$B$14</definedName>
    <definedName name="Product_name" localSheetId="11">[1]Sales!$J$2:$J$307</definedName>
    <definedName name="Product_name">Sales!$J$2:$J$307</definedName>
    <definedName name="ProductList" localSheetId="11">#REF!</definedName>
    <definedName name="ProductList">#REF!</definedName>
    <definedName name="ProductName" localSheetId="11">[3]Sales!$J$2:$J$307</definedName>
    <definedName name="ProductName">#REF!</definedName>
    <definedName name="Products" localSheetId="11">'[1]List data'!$C$2:$C$14</definedName>
    <definedName name="Products">'List data'!$C$2:$C$14</definedName>
    <definedName name="ProductsData" localSheetId="11">#REF!</definedName>
    <definedName name="ProductsData">#REF!</definedName>
    <definedName name="Quantity">Sales!$L$2:$L$307</definedName>
    <definedName name="Subtotal">Sales!$M$2:$M$307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F2" i="2" a="1"/>
  <c r="F2" i="2" s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F14" i="36" l="1"/>
  <c r="F7" i="36" l="1"/>
  <c r="F10" i="36"/>
  <c r="F15" i="36"/>
  <c r="F11" i="36"/>
  <c r="F8" i="36"/>
  <c r="F9" i="36"/>
  <c r="F3" i="36"/>
  <c r="F12" i="36"/>
  <c r="F4" i="36"/>
  <c r="F5" i="36"/>
  <c r="F13" i="36"/>
  <c r="F6" i="36"/>
  <c r="L309" i="1" l="1"/>
  <c r="M307" i="1"/>
  <c r="Q307" i="1" s="1"/>
  <c r="C307" i="1"/>
  <c r="M306" i="1"/>
  <c r="Q306" i="1" s="1"/>
  <c r="C306" i="1"/>
  <c r="Q305" i="1"/>
  <c r="M305" i="1"/>
  <c r="C305" i="1"/>
  <c r="Q304" i="1"/>
  <c r="M304" i="1"/>
  <c r="C304" i="1"/>
  <c r="M303" i="1"/>
  <c r="Q303" i="1" s="1"/>
  <c r="C303" i="1"/>
  <c r="M302" i="1"/>
  <c r="Q302" i="1" s="1"/>
  <c r="C302" i="1"/>
  <c r="Q301" i="1"/>
  <c r="M301" i="1"/>
  <c r="C301" i="1"/>
  <c r="Q300" i="1"/>
  <c r="M300" i="1"/>
  <c r="C300" i="1"/>
  <c r="M299" i="1"/>
  <c r="Q299" i="1" s="1"/>
  <c r="C299" i="1"/>
  <c r="M298" i="1"/>
  <c r="Q298" i="1" s="1"/>
  <c r="C298" i="1"/>
  <c r="Q297" i="1"/>
  <c r="M297" i="1"/>
  <c r="C297" i="1"/>
  <c r="Q296" i="1"/>
  <c r="M296" i="1"/>
  <c r="C296" i="1"/>
  <c r="M295" i="1"/>
  <c r="Q295" i="1" s="1"/>
  <c r="C295" i="1"/>
  <c r="M294" i="1"/>
  <c r="Q294" i="1" s="1"/>
  <c r="C294" i="1"/>
  <c r="Q293" i="1"/>
  <c r="M293" i="1"/>
  <c r="C293" i="1"/>
  <c r="Q292" i="1"/>
  <c r="M292" i="1"/>
  <c r="C292" i="1"/>
  <c r="M291" i="1"/>
  <c r="Q291" i="1" s="1"/>
  <c r="C291" i="1"/>
  <c r="M290" i="1"/>
  <c r="Q290" i="1" s="1"/>
  <c r="C290" i="1"/>
  <c r="Q289" i="1"/>
  <c r="M289" i="1"/>
  <c r="C289" i="1"/>
  <c r="Q288" i="1"/>
  <c r="M288" i="1"/>
  <c r="C288" i="1"/>
  <c r="M287" i="1"/>
  <c r="Q287" i="1" s="1"/>
  <c r="C287" i="1"/>
  <c r="M286" i="1"/>
  <c r="Q286" i="1" s="1"/>
  <c r="C286" i="1"/>
  <c r="Q285" i="1"/>
  <c r="M285" i="1"/>
  <c r="C285" i="1"/>
  <c r="Q284" i="1"/>
  <c r="M284" i="1"/>
  <c r="C284" i="1"/>
  <c r="M283" i="1"/>
  <c r="Q283" i="1" s="1"/>
  <c r="C283" i="1"/>
  <c r="M282" i="1"/>
  <c r="Q282" i="1" s="1"/>
  <c r="C282" i="1"/>
  <c r="Q281" i="1"/>
  <c r="M281" i="1"/>
  <c r="C281" i="1"/>
  <c r="Q280" i="1"/>
  <c r="M280" i="1"/>
  <c r="C280" i="1"/>
  <c r="M279" i="1"/>
  <c r="Q279" i="1" s="1"/>
  <c r="C279" i="1"/>
  <c r="M278" i="1"/>
  <c r="Q278" i="1" s="1"/>
  <c r="C278" i="1"/>
  <c r="Q277" i="1"/>
  <c r="M277" i="1"/>
  <c r="C277" i="1"/>
  <c r="Q276" i="1"/>
  <c r="M276" i="1"/>
  <c r="C276" i="1"/>
  <c r="M275" i="1"/>
  <c r="Q275" i="1" s="1"/>
  <c r="C275" i="1"/>
  <c r="M274" i="1"/>
  <c r="Q274" i="1" s="1"/>
  <c r="C274" i="1"/>
  <c r="Q273" i="1"/>
  <c r="M273" i="1"/>
  <c r="C273" i="1"/>
  <c r="Q272" i="1"/>
  <c r="M272" i="1"/>
  <c r="C272" i="1"/>
  <c r="M271" i="1"/>
  <c r="Q271" i="1" s="1"/>
  <c r="C271" i="1"/>
  <c r="M270" i="1"/>
  <c r="Q270" i="1" s="1"/>
  <c r="C270" i="1"/>
  <c r="Q269" i="1"/>
  <c r="M269" i="1"/>
  <c r="C269" i="1"/>
  <c r="Q268" i="1"/>
  <c r="M268" i="1"/>
  <c r="C268" i="1"/>
  <c r="M267" i="1"/>
  <c r="Q267" i="1" s="1"/>
  <c r="C267" i="1"/>
  <c r="M266" i="1"/>
  <c r="Q266" i="1" s="1"/>
  <c r="C266" i="1"/>
  <c r="Q265" i="1"/>
  <c r="M265" i="1"/>
  <c r="C265" i="1"/>
  <c r="Q264" i="1"/>
  <c r="M264" i="1"/>
  <c r="C264" i="1"/>
  <c r="M263" i="1"/>
  <c r="Q263" i="1" s="1"/>
  <c r="C263" i="1"/>
  <c r="M262" i="1"/>
  <c r="Q262" i="1" s="1"/>
  <c r="C262" i="1"/>
  <c r="M261" i="1"/>
  <c r="Q261" i="1" s="1"/>
  <c r="C261" i="1"/>
  <c r="Q260" i="1"/>
  <c r="M260" i="1"/>
  <c r="C260" i="1"/>
  <c r="M259" i="1"/>
  <c r="Q259" i="1" s="1"/>
  <c r="C259" i="1"/>
  <c r="M258" i="1"/>
  <c r="Q258" i="1" s="1"/>
  <c r="C258" i="1"/>
  <c r="Q257" i="1"/>
  <c r="M257" i="1"/>
  <c r="C257" i="1"/>
  <c r="Q256" i="1"/>
  <c r="M256" i="1"/>
  <c r="C256" i="1"/>
  <c r="M255" i="1"/>
  <c r="Q255" i="1" s="1"/>
  <c r="C255" i="1"/>
  <c r="Q254" i="1"/>
  <c r="M254" i="1"/>
  <c r="C254" i="1"/>
  <c r="Q253" i="1"/>
  <c r="M253" i="1"/>
  <c r="C253" i="1"/>
  <c r="Q252" i="1"/>
  <c r="M252" i="1"/>
  <c r="C252" i="1"/>
  <c r="M251" i="1"/>
  <c r="Q251" i="1" s="1"/>
  <c r="C251" i="1"/>
  <c r="M250" i="1"/>
  <c r="Q250" i="1" s="1"/>
  <c r="C250" i="1"/>
  <c r="Q249" i="1"/>
  <c r="M249" i="1"/>
  <c r="C249" i="1"/>
  <c r="Q248" i="1"/>
  <c r="M248" i="1"/>
  <c r="C248" i="1"/>
  <c r="M247" i="1"/>
  <c r="Q247" i="1" s="1"/>
  <c r="C247" i="1"/>
  <c r="Q246" i="1"/>
  <c r="M246" i="1"/>
  <c r="C246" i="1"/>
  <c r="Q245" i="1"/>
  <c r="M245" i="1"/>
  <c r="C245" i="1"/>
  <c r="Q244" i="1"/>
  <c r="M244" i="1"/>
  <c r="C244" i="1"/>
  <c r="M243" i="1"/>
  <c r="Q243" i="1" s="1"/>
  <c r="C243" i="1"/>
  <c r="M242" i="1"/>
  <c r="Q242" i="1" s="1"/>
  <c r="C242" i="1"/>
  <c r="Q241" i="1"/>
  <c r="M241" i="1"/>
  <c r="C241" i="1"/>
  <c r="Q240" i="1"/>
  <c r="M240" i="1"/>
  <c r="C240" i="1"/>
  <c r="M239" i="1"/>
  <c r="Q239" i="1" s="1"/>
  <c r="C239" i="1"/>
  <c r="Q238" i="1"/>
  <c r="M238" i="1"/>
  <c r="C238" i="1"/>
  <c r="Q237" i="1"/>
  <c r="M237" i="1"/>
  <c r="C237" i="1"/>
  <c r="Q236" i="1"/>
  <c r="M236" i="1"/>
  <c r="C236" i="1"/>
  <c r="M235" i="1"/>
  <c r="Q235" i="1" s="1"/>
  <c r="C235" i="1"/>
  <c r="M234" i="1"/>
  <c r="Q234" i="1" s="1"/>
  <c r="C234" i="1"/>
  <c r="Q233" i="1"/>
  <c r="M233" i="1"/>
  <c r="C233" i="1"/>
  <c r="Q232" i="1"/>
  <c r="M232" i="1"/>
  <c r="C232" i="1"/>
  <c r="M231" i="1"/>
  <c r="Q231" i="1" s="1"/>
  <c r="C231" i="1"/>
  <c r="M230" i="1"/>
  <c r="Q230" i="1" s="1"/>
  <c r="C230" i="1"/>
  <c r="M229" i="1"/>
  <c r="Q229" i="1" s="1"/>
  <c r="C229" i="1"/>
  <c r="Q228" i="1"/>
  <c r="M228" i="1"/>
  <c r="C228" i="1"/>
  <c r="M227" i="1"/>
  <c r="Q227" i="1" s="1"/>
  <c r="C227" i="1"/>
  <c r="M226" i="1"/>
  <c r="Q226" i="1" s="1"/>
  <c r="C226" i="1"/>
  <c r="Q225" i="1"/>
  <c r="M225" i="1"/>
  <c r="C225" i="1"/>
  <c r="Q224" i="1"/>
  <c r="M224" i="1"/>
  <c r="C224" i="1"/>
  <c r="M223" i="1"/>
  <c r="Q223" i="1" s="1"/>
  <c r="C223" i="1"/>
  <c r="M222" i="1"/>
  <c r="Q222" i="1" s="1"/>
  <c r="C222" i="1"/>
  <c r="M221" i="1"/>
  <c r="Q221" i="1" s="1"/>
  <c r="C221" i="1"/>
  <c r="Q220" i="1"/>
  <c r="M220" i="1"/>
  <c r="C220" i="1"/>
  <c r="M219" i="1"/>
  <c r="Q219" i="1" s="1"/>
  <c r="C219" i="1"/>
  <c r="M218" i="1"/>
  <c r="Q218" i="1" s="1"/>
  <c r="C218" i="1"/>
  <c r="Q217" i="1"/>
  <c r="M217" i="1"/>
  <c r="C217" i="1"/>
  <c r="Q216" i="1"/>
  <c r="M216" i="1"/>
  <c r="C216" i="1"/>
  <c r="M215" i="1"/>
  <c r="Q215" i="1" s="1"/>
  <c r="C215" i="1"/>
  <c r="M214" i="1"/>
  <c r="Q214" i="1" s="1"/>
  <c r="C214" i="1"/>
  <c r="M213" i="1"/>
  <c r="Q213" i="1" s="1"/>
  <c r="C213" i="1"/>
  <c r="Q212" i="1"/>
  <c r="M212" i="1"/>
  <c r="C212" i="1"/>
  <c r="M211" i="1"/>
  <c r="Q211" i="1" s="1"/>
  <c r="C211" i="1"/>
  <c r="M210" i="1"/>
  <c r="Q210" i="1" s="1"/>
  <c r="C210" i="1"/>
  <c r="Q209" i="1"/>
  <c r="M209" i="1"/>
  <c r="C209" i="1"/>
  <c r="Q208" i="1"/>
  <c r="M208" i="1"/>
  <c r="C208" i="1"/>
  <c r="M207" i="1"/>
  <c r="Q207" i="1" s="1"/>
  <c r="C207" i="1"/>
  <c r="M206" i="1"/>
  <c r="Q206" i="1" s="1"/>
  <c r="C206" i="1"/>
  <c r="M205" i="1"/>
  <c r="Q205" i="1" s="1"/>
  <c r="C205" i="1"/>
  <c r="Q204" i="1"/>
  <c r="M204" i="1"/>
  <c r="C204" i="1"/>
  <c r="M203" i="1"/>
  <c r="Q203" i="1" s="1"/>
  <c r="C203" i="1"/>
  <c r="M202" i="1"/>
  <c r="Q202" i="1" s="1"/>
  <c r="C202" i="1"/>
  <c r="Q201" i="1"/>
  <c r="M201" i="1"/>
  <c r="C201" i="1"/>
  <c r="Q200" i="1"/>
  <c r="M200" i="1"/>
  <c r="C200" i="1"/>
  <c r="M199" i="1"/>
  <c r="Q199" i="1" s="1"/>
  <c r="C199" i="1"/>
  <c r="M198" i="1"/>
  <c r="Q198" i="1" s="1"/>
  <c r="C198" i="1"/>
  <c r="M197" i="1"/>
  <c r="Q197" i="1" s="1"/>
  <c r="C197" i="1"/>
  <c r="Q196" i="1"/>
  <c r="M196" i="1"/>
  <c r="C196" i="1"/>
  <c r="M195" i="1"/>
  <c r="Q195" i="1" s="1"/>
  <c r="C195" i="1"/>
  <c r="M194" i="1"/>
  <c r="Q194" i="1" s="1"/>
  <c r="C194" i="1"/>
  <c r="Q193" i="1"/>
  <c r="M193" i="1"/>
  <c r="C193" i="1"/>
  <c r="Q192" i="1"/>
  <c r="M192" i="1"/>
  <c r="C192" i="1"/>
  <c r="M191" i="1"/>
  <c r="Q191" i="1" s="1"/>
  <c r="C191" i="1"/>
  <c r="Q190" i="1"/>
  <c r="M190" i="1"/>
  <c r="C190" i="1"/>
  <c r="Q189" i="1"/>
  <c r="M189" i="1"/>
  <c r="C189" i="1"/>
  <c r="Q188" i="1"/>
  <c r="M188" i="1"/>
  <c r="C188" i="1"/>
  <c r="M187" i="1"/>
  <c r="Q187" i="1" s="1"/>
  <c r="C187" i="1"/>
  <c r="M186" i="1"/>
  <c r="Q186" i="1" s="1"/>
  <c r="C186" i="1"/>
  <c r="Q185" i="1"/>
  <c r="M185" i="1"/>
  <c r="C185" i="1"/>
  <c r="Q184" i="1"/>
  <c r="M184" i="1"/>
  <c r="C184" i="1"/>
  <c r="M183" i="1"/>
  <c r="Q183" i="1" s="1"/>
  <c r="C183" i="1"/>
  <c r="Q182" i="1"/>
  <c r="M182" i="1"/>
  <c r="C182" i="1"/>
  <c r="Q181" i="1"/>
  <c r="M181" i="1"/>
  <c r="C181" i="1"/>
  <c r="Q180" i="1"/>
  <c r="M180" i="1"/>
  <c r="C180" i="1"/>
  <c r="M179" i="1"/>
  <c r="Q179" i="1" s="1"/>
  <c r="C179" i="1"/>
  <c r="M178" i="1"/>
  <c r="Q178" i="1" s="1"/>
  <c r="C178" i="1"/>
  <c r="Q177" i="1"/>
  <c r="M177" i="1"/>
  <c r="C177" i="1"/>
  <c r="Q176" i="1"/>
  <c r="M176" i="1"/>
  <c r="C176" i="1"/>
  <c r="M175" i="1"/>
  <c r="Q175" i="1" s="1"/>
  <c r="C175" i="1"/>
  <c r="Q174" i="1"/>
  <c r="M174" i="1"/>
  <c r="C174" i="1"/>
  <c r="M173" i="1"/>
  <c r="Q173" i="1" s="1"/>
  <c r="C173" i="1"/>
  <c r="Q172" i="1"/>
  <c r="M172" i="1"/>
  <c r="C172" i="1"/>
  <c r="M171" i="1"/>
  <c r="Q171" i="1" s="1"/>
  <c r="C171" i="1"/>
  <c r="M170" i="1"/>
  <c r="Q170" i="1" s="1"/>
  <c r="C170" i="1"/>
  <c r="Q169" i="1"/>
  <c r="M169" i="1"/>
  <c r="C169" i="1"/>
  <c r="Q168" i="1"/>
  <c r="M168" i="1"/>
  <c r="C168" i="1"/>
  <c r="M167" i="1"/>
  <c r="Q167" i="1" s="1"/>
  <c r="C167" i="1"/>
  <c r="Q166" i="1"/>
  <c r="M166" i="1"/>
  <c r="C166" i="1"/>
  <c r="M165" i="1"/>
  <c r="Q165" i="1" s="1"/>
  <c r="C165" i="1"/>
  <c r="Q164" i="1"/>
  <c r="M164" i="1"/>
  <c r="C164" i="1"/>
  <c r="M163" i="1"/>
  <c r="Q163" i="1" s="1"/>
  <c r="C163" i="1"/>
  <c r="M162" i="1"/>
  <c r="Q162" i="1" s="1"/>
  <c r="C162" i="1"/>
  <c r="Q161" i="1"/>
  <c r="M161" i="1"/>
  <c r="C161" i="1"/>
  <c r="Q160" i="1"/>
  <c r="M160" i="1"/>
  <c r="C160" i="1"/>
  <c r="M159" i="1"/>
  <c r="Q159" i="1" s="1"/>
  <c r="C159" i="1"/>
  <c r="Q158" i="1"/>
  <c r="M158" i="1"/>
  <c r="C158" i="1"/>
  <c r="M157" i="1"/>
  <c r="Q157" i="1" s="1"/>
  <c r="C157" i="1"/>
  <c r="Q156" i="1"/>
  <c r="M156" i="1"/>
  <c r="C156" i="1"/>
  <c r="M155" i="1"/>
  <c r="Q155" i="1" s="1"/>
  <c r="C155" i="1"/>
  <c r="M154" i="1"/>
  <c r="Q154" i="1" s="1"/>
  <c r="C154" i="1"/>
  <c r="Q153" i="1"/>
  <c r="M153" i="1"/>
  <c r="C153" i="1"/>
  <c r="Q152" i="1"/>
  <c r="M152" i="1"/>
  <c r="C152" i="1"/>
  <c r="M151" i="1"/>
  <c r="Q151" i="1" s="1"/>
  <c r="C151" i="1"/>
  <c r="Q150" i="1"/>
  <c r="M150" i="1"/>
  <c r="C150" i="1"/>
  <c r="M149" i="1"/>
  <c r="Q149" i="1" s="1"/>
  <c r="C149" i="1"/>
  <c r="Q148" i="1"/>
  <c r="M148" i="1"/>
  <c r="C148" i="1"/>
  <c r="M147" i="1"/>
  <c r="Q147" i="1" s="1"/>
  <c r="C147" i="1"/>
  <c r="M146" i="1"/>
  <c r="Q146" i="1" s="1"/>
  <c r="C146" i="1"/>
  <c r="Q145" i="1"/>
  <c r="M145" i="1"/>
  <c r="C145" i="1"/>
  <c r="Q144" i="1"/>
  <c r="M144" i="1"/>
  <c r="C144" i="1"/>
  <c r="M143" i="1"/>
  <c r="Q143" i="1" s="1"/>
  <c r="C143" i="1"/>
  <c r="Q142" i="1"/>
  <c r="M142" i="1"/>
  <c r="C142" i="1"/>
  <c r="M141" i="1"/>
  <c r="Q141" i="1" s="1"/>
  <c r="C141" i="1"/>
  <c r="Q140" i="1"/>
  <c r="M140" i="1"/>
  <c r="C140" i="1"/>
  <c r="M139" i="1"/>
  <c r="Q139" i="1" s="1"/>
  <c r="C139" i="1"/>
  <c r="M138" i="1"/>
  <c r="Q138" i="1" s="1"/>
  <c r="C138" i="1"/>
  <c r="Q137" i="1"/>
  <c r="M137" i="1"/>
  <c r="C137" i="1"/>
  <c r="Q136" i="1"/>
  <c r="M136" i="1"/>
  <c r="C136" i="1"/>
  <c r="M135" i="1"/>
  <c r="Q135" i="1" s="1"/>
  <c r="C135" i="1"/>
  <c r="Q134" i="1"/>
  <c r="M134" i="1"/>
  <c r="C134" i="1"/>
  <c r="M133" i="1"/>
  <c r="Q133" i="1" s="1"/>
  <c r="C133" i="1"/>
  <c r="Q132" i="1"/>
  <c r="M132" i="1"/>
  <c r="C132" i="1"/>
  <c r="M131" i="1"/>
  <c r="Q131" i="1" s="1"/>
  <c r="C131" i="1"/>
  <c r="M130" i="1"/>
  <c r="Q130" i="1" s="1"/>
  <c r="C130" i="1"/>
  <c r="Q129" i="1"/>
  <c r="M129" i="1"/>
  <c r="C129" i="1"/>
  <c r="Q128" i="1"/>
  <c r="M128" i="1"/>
  <c r="C128" i="1"/>
  <c r="M127" i="1"/>
  <c r="Q127" i="1" s="1"/>
  <c r="C127" i="1"/>
  <c r="Q126" i="1"/>
  <c r="M126" i="1"/>
  <c r="C126" i="1"/>
  <c r="Q125" i="1"/>
  <c r="M125" i="1"/>
  <c r="C125" i="1"/>
  <c r="Q124" i="1"/>
  <c r="M124" i="1"/>
  <c r="C124" i="1"/>
  <c r="M123" i="1"/>
  <c r="Q123" i="1" s="1"/>
  <c r="C123" i="1"/>
  <c r="M122" i="1"/>
  <c r="Q122" i="1" s="1"/>
  <c r="C122" i="1"/>
  <c r="Q121" i="1"/>
  <c r="M121" i="1"/>
  <c r="C121" i="1"/>
  <c r="Q120" i="1"/>
  <c r="M120" i="1"/>
  <c r="C120" i="1"/>
  <c r="M119" i="1"/>
  <c r="Q119" i="1" s="1"/>
  <c r="C119" i="1"/>
  <c r="Q118" i="1"/>
  <c r="M118" i="1"/>
  <c r="C118" i="1"/>
  <c r="Q117" i="1"/>
  <c r="M117" i="1"/>
  <c r="C117" i="1"/>
  <c r="Q116" i="1"/>
  <c r="M116" i="1"/>
  <c r="C116" i="1"/>
  <c r="M115" i="1"/>
  <c r="Q115" i="1" s="1"/>
  <c r="C115" i="1"/>
  <c r="M114" i="1"/>
  <c r="Q114" i="1" s="1"/>
  <c r="C114" i="1"/>
  <c r="Q113" i="1"/>
  <c r="M113" i="1"/>
  <c r="C113" i="1"/>
  <c r="Q112" i="1"/>
  <c r="M112" i="1"/>
  <c r="C112" i="1"/>
  <c r="M111" i="1"/>
  <c r="Q111" i="1" s="1"/>
  <c r="C111" i="1"/>
  <c r="Q110" i="1"/>
  <c r="M110" i="1"/>
  <c r="C110" i="1"/>
  <c r="Q109" i="1"/>
  <c r="M109" i="1"/>
  <c r="C109" i="1"/>
  <c r="Q108" i="1"/>
  <c r="M108" i="1"/>
  <c r="C108" i="1"/>
  <c r="M107" i="1"/>
  <c r="Q107" i="1" s="1"/>
  <c r="C107" i="1"/>
  <c r="M106" i="1"/>
  <c r="Q106" i="1" s="1"/>
  <c r="C106" i="1"/>
  <c r="Q105" i="1"/>
  <c r="M105" i="1"/>
  <c r="C105" i="1"/>
  <c r="Q104" i="1"/>
  <c r="M104" i="1"/>
  <c r="C104" i="1"/>
  <c r="M103" i="1"/>
  <c r="Q103" i="1" s="1"/>
  <c r="C103" i="1"/>
  <c r="Q102" i="1"/>
  <c r="M102" i="1"/>
  <c r="C102" i="1"/>
  <c r="Q101" i="1"/>
  <c r="M101" i="1"/>
  <c r="C101" i="1"/>
  <c r="Q100" i="1"/>
  <c r="M100" i="1"/>
  <c r="C100" i="1"/>
  <c r="M99" i="1"/>
  <c r="Q99" i="1" s="1"/>
  <c r="C99" i="1"/>
  <c r="M98" i="1"/>
  <c r="Q98" i="1" s="1"/>
  <c r="C98" i="1"/>
  <c r="Q97" i="1"/>
  <c r="M97" i="1"/>
  <c r="C97" i="1"/>
  <c r="Q96" i="1"/>
  <c r="M96" i="1"/>
  <c r="C96" i="1"/>
  <c r="M95" i="1"/>
  <c r="Q95" i="1" s="1"/>
  <c r="C95" i="1"/>
  <c r="Q94" i="1"/>
  <c r="M94" i="1"/>
  <c r="C94" i="1"/>
  <c r="Q93" i="1"/>
  <c r="M93" i="1"/>
  <c r="C93" i="1"/>
  <c r="Q92" i="1"/>
  <c r="M92" i="1"/>
  <c r="C92" i="1"/>
  <c r="M91" i="1"/>
  <c r="Q91" i="1" s="1"/>
  <c r="C91" i="1"/>
  <c r="M90" i="1"/>
  <c r="Q90" i="1" s="1"/>
  <c r="C90" i="1"/>
  <c r="Q89" i="1"/>
  <c r="M89" i="1"/>
  <c r="C89" i="1"/>
  <c r="Q88" i="1"/>
  <c r="M88" i="1"/>
  <c r="C88" i="1"/>
  <c r="M87" i="1"/>
  <c r="Q87" i="1" s="1"/>
  <c r="C87" i="1"/>
  <c r="Q86" i="1"/>
  <c r="M86" i="1"/>
  <c r="C86" i="1"/>
  <c r="Q85" i="1"/>
  <c r="M85" i="1"/>
  <c r="C85" i="1"/>
  <c r="Q84" i="1"/>
  <c r="M84" i="1"/>
  <c r="C84" i="1"/>
  <c r="M83" i="1"/>
  <c r="Q83" i="1" s="1"/>
  <c r="C83" i="1"/>
  <c r="M82" i="1"/>
  <c r="Q82" i="1" s="1"/>
  <c r="C82" i="1"/>
  <c r="Q81" i="1"/>
  <c r="M81" i="1"/>
  <c r="C81" i="1"/>
  <c r="Q80" i="1"/>
  <c r="M80" i="1"/>
  <c r="C80" i="1"/>
  <c r="M79" i="1"/>
  <c r="Q79" i="1" s="1"/>
  <c r="C79" i="1"/>
  <c r="Q78" i="1"/>
  <c r="M78" i="1"/>
  <c r="C78" i="1"/>
  <c r="Q77" i="1"/>
  <c r="M77" i="1"/>
  <c r="C77" i="1"/>
  <c r="Q76" i="1"/>
  <c r="M76" i="1"/>
  <c r="C76" i="1"/>
  <c r="M75" i="1"/>
  <c r="Q75" i="1" s="1"/>
  <c r="C75" i="1"/>
  <c r="M74" i="1"/>
  <c r="Q74" i="1" s="1"/>
  <c r="C74" i="1"/>
  <c r="Q73" i="1"/>
  <c r="M73" i="1"/>
  <c r="C73" i="1"/>
  <c r="Q72" i="1"/>
  <c r="M72" i="1"/>
  <c r="C72" i="1"/>
  <c r="M71" i="1"/>
  <c r="Q71" i="1" s="1"/>
  <c r="C71" i="1"/>
  <c r="M70" i="1"/>
  <c r="Q70" i="1" s="1"/>
  <c r="C70" i="1"/>
  <c r="Q69" i="1"/>
  <c r="M69" i="1"/>
  <c r="C69" i="1"/>
  <c r="Q68" i="1"/>
  <c r="M68" i="1"/>
  <c r="C68" i="1"/>
  <c r="M67" i="1"/>
  <c r="Q67" i="1" s="1"/>
  <c r="C67" i="1"/>
  <c r="M66" i="1"/>
  <c r="Q66" i="1" s="1"/>
  <c r="C66" i="1"/>
  <c r="Q65" i="1"/>
  <c r="M65" i="1"/>
  <c r="C65" i="1"/>
  <c r="Q64" i="1"/>
  <c r="M64" i="1"/>
  <c r="C64" i="1"/>
  <c r="M63" i="1"/>
  <c r="Q63" i="1" s="1"/>
  <c r="C63" i="1"/>
  <c r="M62" i="1"/>
  <c r="Q62" i="1" s="1"/>
  <c r="C62" i="1"/>
  <c r="Q61" i="1"/>
  <c r="M61" i="1"/>
  <c r="C61" i="1"/>
  <c r="Q60" i="1"/>
  <c r="M60" i="1"/>
  <c r="C60" i="1"/>
  <c r="M59" i="1"/>
  <c r="Q59" i="1" s="1"/>
  <c r="C59" i="1"/>
  <c r="M58" i="1"/>
  <c r="Q58" i="1" s="1"/>
  <c r="C58" i="1"/>
  <c r="Q57" i="1"/>
  <c r="M57" i="1"/>
  <c r="C57" i="1"/>
  <c r="Q56" i="1"/>
  <c r="M56" i="1"/>
  <c r="C56" i="1"/>
  <c r="M55" i="1"/>
  <c r="Q55" i="1" s="1"/>
  <c r="C55" i="1"/>
  <c r="M54" i="1"/>
  <c r="Q54" i="1" s="1"/>
  <c r="C54" i="1"/>
  <c r="Q53" i="1"/>
  <c r="M53" i="1"/>
  <c r="C53" i="1"/>
  <c r="Q52" i="1"/>
  <c r="M52" i="1"/>
  <c r="C52" i="1"/>
  <c r="M51" i="1"/>
  <c r="Q51" i="1" s="1"/>
  <c r="C51" i="1"/>
  <c r="M50" i="1"/>
  <c r="Q50" i="1" s="1"/>
  <c r="C50" i="1"/>
  <c r="Q49" i="1"/>
  <c r="M49" i="1"/>
  <c r="C49" i="1"/>
  <c r="Q48" i="1"/>
  <c r="M48" i="1"/>
  <c r="C48" i="1"/>
  <c r="M47" i="1"/>
  <c r="Q47" i="1" s="1"/>
  <c r="C47" i="1"/>
  <c r="M46" i="1"/>
  <c r="Q46" i="1" s="1"/>
  <c r="C46" i="1"/>
  <c r="Q45" i="1"/>
  <c r="M45" i="1"/>
  <c r="C45" i="1"/>
  <c r="Q44" i="1"/>
  <c r="M44" i="1"/>
  <c r="C44" i="1"/>
  <c r="M43" i="1"/>
  <c r="Q43" i="1" s="1"/>
  <c r="C43" i="1"/>
  <c r="M42" i="1"/>
  <c r="Q42" i="1" s="1"/>
  <c r="C42" i="1"/>
  <c r="Q41" i="1"/>
  <c r="M41" i="1"/>
  <c r="C41" i="1"/>
  <c r="Q40" i="1"/>
  <c r="M40" i="1"/>
  <c r="C40" i="1"/>
  <c r="M39" i="1"/>
  <c r="Q39" i="1" s="1"/>
  <c r="C39" i="1"/>
  <c r="M38" i="1"/>
  <c r="Q38" i="1" s="1"/>
  <c r="C38" i="1"/>
  <c r="M37" i="1"/>
  <c r="Q37" i="1" s="1"/>
  <c r="C37" i="1"/>
  <c r="Q36" i="1"/>
  <c r="M36" i="1"/>
  <c r="C36" i="1"/>
  <c r="M35" i="1"/>
  <c r="Q35" i="1" s="1"/>
  <c r="C35" i="1"/>
  <c r="M34" i="1"/>
  <c r="Q34" i="1" s="1"/>
  <c r="C34" i="1"/>
  <c r="Q33" i="1"/>
  <c r="M33" i="1"/>
  <c r="C33" i="1"/>
  <c r="Q32" i="1"/>
  <c r="M32" i="1"/>
  <c r="C32" i="1"/>
  <c r="M31" i="1"/>
  <c r="Q31" i="1" s="1"/>
  <c r="C31" i="1"/>
  <c r="M30" i="1"/>
  <c r="Q30" i="1" s="1"/>
  <c r="C30" i="1"/>
  <c r="M29" i="1"/>
  <c r="Q29" i="1" s="1"/>
  <c r="C29" i="1"/>
  <c r="Q28" i="1"/>
  <c r="M28" i="1"/>
  <c r="C28" i="1"/>
  <c r="M27" i="1"/>
  <c r="Q27" i="1" s="1"/>
  <c r="C27" i="1"/>
  <c r="M26" i="1"/>
  <c r="Q26" i="1" s="1"/>
  <c r="C26" i="1"/>
  <c r="Q25" i="1"/>
  <c r="M25" i="1"/>
  <c r="C25" i="1"/>
  <c r="Q24" i="1"/>
  <c r="M24" i="1"/>
  <c r="C24" i="1"/>
  <c r="M23" i="1"/>
  <c r="Q23" i="1" s="1"/>
  <c r="C23" i="1"/>
  <c r="M22" i="1"/>
  <c r="Q22" i="1" s="1"/>
  <c r="C22" i="1"/>
  <c r="M21" i="1"/>
  <c r="Q21" i="1" s="1"/>
  <c r="C21" i="1"/>
  <c r="Q20" i="1"/>
  <c r="M20" i="1"/>
  <c r="C20" i="1"/>
  <c r="M19" i="1"/>
  <c r="Q19" i="1" s="1"/>
  <c r="C19" i="1"/>
  <c r="M18" i="1"/>
  <c r="Q18" i="1" s="1"/>
  <c r="C18" i="1"/>
  <c r="Q17" i="1"/>
  <c r="M17" i="1"/>
  <c r="C17" i="1"/>
  <c r="Q16" i="1"/>
  <c r="M16" i="1"/>
  <c r="C16" i="1"/>
  <c r="M15" i="1"/>
  <c r="Q15" i="1" s="1"/>
  <c r="C15" i="1"/>
  <c r="M14" i="1"/>
  <c r="Q14" i="1" s="1"/>
  <c r="C14" i="1"/>
  <c r="M13" i="1"/>
  <c r="Q13" i="1" s="1"/>
  <c r="C13" i="1"/>
  <c r="Q12" i="1"/>
  <c r="M12" i="1"/>
  <c r="C12" i="1"/>
  <c r="M11" i="1"/>
  <c r="Q11" i="1" s="1"/>
  <c r="C11" i="1"/>
  <c r="M10" i="1"/>
  <c r="Q10" i="1" s="1"/>
  <c r="C10" i="1"/>
  <c r="Q9" i="1"/>
  <c r="M9" i="1"/>
  <c r="C9" i="1"/>
  <c r="Q8" i="1"/>
  <c r="M8" i="1"/>
  <c r="C8" i="1"/>
  <c r="M7" i="1"/>
  <c r="Q7" i="1" s="1"/>
  <c r="C7" i="1"/>
  <c r="M6" i="1"/>
  <c r="Q6" i="1" s="1"/>
  <c r="C6" i="1"/>
  <c r="M5" i="1"/>
  <c r="Q5" i="1" s="1"/>
  <c r="C5" i="1"/>
  <c r="Q4" i="1"/>
  <c r="M4" i="1"/>
  <c r="C4" i="1"/>
  <c r="M3" i="1"/>
  <c r="Q3" i="1" s="1"/>
  <c r="C3" i="1"/>
  <c r="M2" i="1"/>
  <c r="M309" i="1" s="1"/>
  <c r="C2" i="1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Q2" i="1" l="1"/>
  <c r="Q30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<sst xmlns="http://schemas.openxmlformats.org/spreadsheetml/2006/main" count="3086" uniqueCount="690">
  <si>
    <t>Salesperson ID</t>
  </si>
  <si>
    <t>Salesperson full name</t>
  </si>
  <si>
    <t>Salespeople</t>
  </si>
  <si>
    <t>8064-Amal Salazar</t>
  </si>
  <si>
    <t>6678-Amalia Ribeiro</t>
  </si>
  <si>
    <t>5454-Anna Cunha</t>
  </si>
  <si>
    <t>5382-Diya Nueimat</t>
  </si>
  <si>
    <t>6892-Fahd Sleiman</t>
  </si>
  <si>
    <t>6464-Hamal Azzi</t>
  </si>
  <si>
    <t>6250-Hu Lin</t>
  </si>
  <si>
    <t>1384-Igor Almeida</t>
  </si>
  <si>
    <t>6571-Iker Dominguez</t>
  </si>
  <si>
    <t>5418-Isabell  Couture</t>
  </si>
  <si>
    <t>6357-Johnny Bear</t>
  </si>
  <si>
    <t>6143-Liane Cormier</t>
  </si>
  <si>
    <t>5400-Maisha Karzai</t>
  </si>
  <si>
    <t>4350-Mukhtar Masih</t>
  </si>
  <si>
    <t>5346-Sergio Galvez</t>
  </si>
  <si>
    <t>Sale ID</t>
  </si>
  <si>
    <t>Sale date</t>
  </si>
  <si>
    <t>Month</t>
  </si>
  <si>
    <t>Salesperson name</t>
  </si>
  <si>
    <t>Customer number</t>
  </si>
  <si>
    <t>Customer full name</t>
  </si>
  <si>
    <t>City</t>
  </si>
  <si>
    <t>Product ID</t>
  </si>
  <si>
    <t>Product name</t>
  </si>
  <si>
    <t>Price</t>
  </si>
  <si>
    <t>Quantity</t>
  </si>
  <si>
    <t>Subtotal</t>
  </si>
  <si>
    <t>Discount number</t>
  </si>
  <si>
    <t>Discount code</t>
  </si>
  <si>
    <t>Discount percentage</t>
  </si>
  <si>
    <t>Order total</t>
  </si>
  <si>
    <t>Jonathan Voigt</t>
  </si>
  <si>
    <t>Samish</t>
  </si>
  <si>
    <t>OS-3</t>
  </si>
  <si>
    <t>David Charron</t>
  </si>
  <si>
    <t>Big Lake</t>
  </si>
  <si>
    <t>JJ-4</t>
  </si>
  <si>
    <t>Wen Xie</t>
  </si>
  <si>
    <t>Burlington</t>
  </si>
  <si>
    <t>Kaela Samaha</t>
  </si>
  <si>
    <t>La Conner</t>
  </si>
  <si>
    <t>L-2</t>
  </si>
  <si>
    <t>Eugenia Austin</t>
  </si>
  <si>
    <t>Lake Ketchum</t>
  </si>
  <si>
    <t>JJ-3</t>
  </si>
  <si>
    <t>Angel Arteaga</t>
  </si>
  <si>
    <t>Baker Heights</t>
  </si>
  <si>
    <t>Nathan Bottoms</t>
  </si>
  <si>
    <t>Edison</t>
  </si>
  <si>
    <t>JJ-1</t>
  </si>
  <si>
    <t>Velma Buckner</t>
  </si>
  <si>
    <t>Wickersham</t>
  </si>
  <si>
    <t>Kong Chen</t>
  </si>
  <si>
    <t>Bellingham</t>
  </si>
  <si>
    <t>H-1</t>
  </si>
  <si>
    <t>Francisco Almaraz</t>
  </si>
  <si>
    <t>H-2</t>
  </si>
  <si>
    <t>Michael Yin</t>
  </si>
  <si>
    <t>H-3</t>
  </si>
  <si>
    <t>Taqwaa Samaha</t>
  </si>
  <si>
    <t>Bow</t>
  </si>
  <si>
    <t>OS-1</t>
  </si>
  <si>
    <t>Hafsa Dallah</t>
  </si>
  <si>
    <t>Whitney</t>
  </si>
  <si>
    <t>Qi Shi</t>
  </si>
  <si>
    <t>JJ-2</t>
  </si>
  <si>
    <t>Hamal Shammas</t>
  </si>
  <si>
    <t>OS-2</t>
  </si>
  <si>
    <t>Lan Mai</t>
  </si>
  <si>
    <t>Munira Abrego</t>
  </si>
  <si>
    <t>Nancy Terry</t>
  </si>
  <si>
    <t>Terrence McGowan</t>
  </si>
  <si>
    <t>Genevieve Meilleur</t>
  </si>
  <si>
    <t>Francis Stackhouse</t>
  </si>
  <si>
    <t>Alberto Dominguez</t>
  </si>
  <si>
    <t>Mount Vernon</t>
  </si>
  <si>
    <t>Sally Gallegos</t>
  </si>
  <si>
    <t>Claude Batard</t>
  </si>
  <si>
    <t>Tami Alvarado</t>
  </si>
  <si>
    <t>L-3</t>
  </si>
  <si>
    <t>Blaise Margand</t>
  </si>
  <si>
    <t>Bay View</t>
  </si>
  <si>
    <t>Cameron Hyde</t>
  </si>
  <si>
    <t>Sun Li</t>
  </si>
  <si>
    <t>Gonzalo Vazquez</t>
  </si>
  <si>
    <t>Alger</t>
  </si>
  <si>
    <t>Yi Min Ang</t>
  </si>
  <si>
    <t>Utbah Sherzai</t>
  </si>
  <si>
    <t>Ruby Shaffer</t>
  </si>
  <si>
    <t>Avon</t>
  </si>
  <si>
    <t>Desiree Maldonado</t>
  </si>
  <si>
    <t>Marcel Quessy</t>
  </si>
  <si>
    <t>Gerard Masse</t>
  </si>
  <si>
    <t>Sedro-Woolley</t>
  </si>
  <si>
    <t>Catherine Alford</t>
  </si>
  <si>
    <t>Conway</t>
  </si>
  <si>
    <t>L-1</t>
  </si>
  <si>
    <t>Jiang Li Xin</t>
  </si>
  <si>
    <t>Leah Bailey</t>
  </si>
  <si>
    <t>Astrid Flamand</t>
  </si>
  <si>
    <t>Libby Stokes</t>
  </si>
  <si>
    <t>Shi Hu</t>
  </si>
  <si>
    <t>Edwina Mullen</t>
  </si>
  <si>
    <t>Lourdes Melgar</t>
  </si>
  <si>
    <t>Fabio Fernandes</t>
  </si>
  <si>
    <t>Kareem Kuzbari</t>
  </si>
  <si>
    <t>Coralie Potvin</t>
  </si>
  <si>
    <t>Christian Saucier</t>
  </si>
  <si>
    <t>Darnell Nall</t>
  </si>
  <si>
    <t>Demi Holloway</t>
  </si>
  <si>
    <t>Philippe Pelland</t>
  </si>
  <si>
    <t>Marisa McCullough</t>
  </si>
  <si>
    <t>Kristine Bass</t>
  </si>
  <si>
    <t>Yue Ying Lin</t>
  </si>
  <si>
    <t>Miles McDaniel</t>
  </si>
  <si>
    <t>Antonio Castaneda</t>
  </si>
  <si>
    <t>Molly Romero</t>
  </si>
  <si>
    <t>Alexandre Doyon</t>
  </si>
  <si>
    <t>Shen Xiong</t>
  </si>
  <si>
    <t>Fai Qian</t>
  </si>
  <si>
    <t>Hamal Nader</t>
  </si>
  <si>
    <t>Daniel Tijerina</t>
  </si>
  <si>
    <t>Fen Long</t>
  </si>
  <si>
    <t>Chris Bromley</t>
  </si>
  <si>
    <t>Lian Fan</t>
  </si>
  <si>
    <t>Alhasan Homsi</t>
  </si>
  <si>
    <t>Akia Kassis</t>
  </si>
  <si>
    <t>Hana'i Hotaki</t>
  </si>
  <si>
    <t>Ruth Miranda</t>
  </si>
  <si>
    <t>Jacob Schreiner</t>
  </si>
  <si>
    <t>Fadil Berry</t>
  </si>
  <si>
    <t>Esteban Treat</t>
  </si>
  <si>
    <t>Yan Yan Tang</t>
  </si>
  <si>
    <t>Dominic Bonsaint</t>
  </si>
  <si>
    <t>Horace Summerlin</t>
  </si>
  <si>
    <t>Gilbert Charron</t>
  </si>
  <si>
    <t>Marcos Serna</t>
  </si>
  <si>
    <t>Jorge Casanova</t>
  </si>
  <si>
    <t>Maurice Charron</t>
  </si>
  <si>
    <t>Alba Sutton</t>
  </si>
  <si>
    <t>Norma Herman</t>
  </si>
  <si>
    <t>Eva Barajas</t>
  </si>
  <si>
    <t>Lyman</t>
  </si>
  <si>
    <t>Gang Chu</t>
  </si>
  <si>
    <t>De Liao</t>
  </si>
  <si>
    <t>Simon Skeen</t>
  </si>
  <si>
    <t>Xia Mai</t>
  </si>
  <si>
    <t>Miguel Howerton</t>
  </si>
  <si>
    <t>Archie Lamb</t>
  </si>
  <si>
    <t>Nihad Homsi</t>
  </si>
  <si>
    <t>Kristophe  Barjavel</t>
  </si>
  <si>
    <t>Xiang Zhong</t>
  </si>
  <si>
    <t>Kyle Hatley</t>
  </si>
  <si>
    <t>Javier Sun</t>
  </si>
  <si>
    <t>Sonia Lynch</t>
  </si>
  <si>
    <t>Pramod  Mistry</t>
  </si>
  <si>
    <t>Lei Luo</t>
  </si>
  <si>
    <t>Luc Chauvin</t>
  </si>
  <si>
    <t>Toby Perkins</t>
  </si>
  <si>
    <t>Yi Min Lu</t>
  </si>
  <si>
    <t>Andre Rivard</t>
  </si>
  <si>
    <t>Hafsa Badakhshi</t>
  </si>
  <si>
    <t>Stewart Frizzell</t>
  </si>
  <si>
    <t>Alain  Margand</t>
  </si>
  <si>
    <t>Jenna Hanania</t>
  </si>
  <si>
    <t>Li Long</t>
  </si>
  <si>
    <t>Tuqaa Naser</t>
  </si>
  <si>
    <t>Lily Parker</t>
  </si>
  <si>
    <t>Jacqueline  Brunelle</t>
  </si>
  <si>
    <t>Annette Deniger</t>
  </si>
  <si>
    <t>Andree Meilleur</t>
  </si>
  <si>
    <t>Josephine  Grondin</t>
  </si>
  <si>
    <t>Dominic Cloutier</t>
  </si>
  <si>
    <t>Gabriel Hurtado</t>
  </si>
  <si>
    <t>Hamed Sarraf</t>
  </si>
  <si>
    <t>Eisa Boutros</t>
  </si>
  <si>
    <t>Calvin Olds</t>
  </si>
  <si>
    <t>Humayd Natsheh</t>
  </si>
  <si>
    <t>Ju Xu</t>
  </si>
  <si>
    <t>Li Cao</t>
  </si>
  <si>
    <t>Pau Valadez</t>
  </si>
  <si>
    <t>Tabitha Shamoun</t>
  </si>
  <si>
    <t>Manuel Jerome</t>
  </si>
  <si>
    <t>Emery Cate</t>
  </si>
  <si>
    <t>Helene Rocher</t>
  </si>
  <si>
    <t>Philippe Paulet</t>
  </si>
  <si>
    <t>Yi Ze Ang</t>
  </si>
  <si>
    <t>Fang Yin Xia</t>
  </si>
  <si>
    <t>Danielle  Panetier</t>
  </si>
  <si>
    <t>Shi He</t>
  </si>
  <si>
    <t>Carmelo Foret</t>
  </si>
  <si>
    <t>Caresse Cartier</t>
  </si>
  <si>
    <t>Charline Varieur</t>
  </si>
  <si>
    <t>Wei Mai</t>
  </si>
  <si>
    <t>Elisabeth Plante</t>
  </si>
  <si>
    <t>Ruwaidah Bishara</t>
  </si>
  <si>
    <t>Douglas Townes</t>
  </si>
  <si>
    <t>Malika Nueimat</t>
  </si>
  <si>
    <t>Felipe Bui</t>
  </si>
  <si>
    <t>Cornelia Guerrero</t>
  </si>
  <si>
    <t>Daniel Feliciano</t>
  </si>
  <si>
    <t>Cheng He</t>
  </si>
  <si>
    <t>Hector Montoya</t>
  </si>
  <si>
    <t>Maison  Herve</t>
  </si>
  <si>
    <t>Reem Al-Zuhairi</t>
  </si>
  <si>
    <t>Harriet Finch</t>
  </si>
  <si>
    <t>Fang Yin Tu</t>
  </si>
  <si>
    <t>Totals:</t>
  </si>
  <si>
    <t>Category</t>
  </si>
  <si>
    <t>Price (each)</t>
  </si>
  <si>
    <t>Organic soap</t>
  </si>
  <si>
    <t>Oatmeal soap</t>
  </si>
  <si>
    <t>Strawberry summer soap</t>
  </si>
  <si>
    <t>Goat milk soap</t>
  </si>
  <si>
    <t>Honey</t>
  </si>
  <si>
    <t>Clover honey</t>
  </si>
  <si>
    <t>Wildflower honey</t>
  </si>
  <si>
    <t>Buckwheat honey</t>
  </si>
  <si>
    <t>Jams and Jellies</t>
  </si>
  <si>
    <t>Strawberry jam</t>
  </si>
  <si>
    <t>Mixed berry jam</t>
  </si>
  <si>
    <t>Mixed berry jelly</t>
  </si>
  <si>
    <t>Rhubarb-strawberry compote</t>
  </si>
  <si>
    <t>Lotions</t>
  </si>
  <si>
    <t>Goat milk hand and body lotion</t>
  </si>
  <si>
    <t>Goat milk and honey cream</t>
  </si>
  <si>
    <t>Oatmeal hand and body lotion</t>
  </si>
  <si>
    <t>Percentage of Honey Stock Sold at Farmers Markets 2022</t>
  </si>
  <si>
    <t>Farmers Market date</t>
  </si>
  <si>
    <t>% of Stock Sold</t>
  </si>
  <si>
    <t>First name</t>
  </si>
  <si>
    <t>Last name</t>
  </si>
  <si>
    <t>Full name</t>
  </si>
  <si>
    <t>Address</t>
  </si>
  <si>
    <t>County</t>
  </si>
  <si>
    <t>State or region</t>
  </si>
  <si>
    <t>Postal code</t>
  </si>
  <si>
    <t>Phone</t>
  </si>
  <si>
    <t>Farm Box size</t>
  </si>
  <si>
    <t>Frequency</t>
  </si>
  <si>
    <t>Allergies</t>
  </si>
  <si>
    <t>Jacob</t>
  </si>
  <si>
    <t>Schreiner</t>
  </si>
  <si>
    <t>678 Cherry Street</t>
  </si>
  <si>
    <t>Skagit</t>
  </si>
  <si>
    <t>WA</t>
  </si>
  <si>
    <t>555-0143</t>
  </si>
  <si>
    <t>Medium</t>
  </si>
  <si>
    <t>Bi-weekly</t>
  </si>
  <si>
    <t>Apples</t>
  </si>
  <si>
    <t>Ruth</t>
  </si>
  <si>
    <t>Miranda</t>
  </si>
  <si>
    <t>3456 Park Boulevard</t>
  </si>
  <si>
    <t>555-0106</t>
  </si>
  <si>
    <t>Small</t>
  </si>
  <si>
    <t>Monthly</t>
  </si>
  <si>
    <t>None</t>
  </si>
  <si>
    <t>Alhasan</t>
  </si>
  <si>
    <t>Homsi</t>
  </si>
  <si>
    <t>555-0120</t>
  </si>
  <si>
    <t>Large</t>
  </si>
  <si>
    <t>Xia</t>
  </si>
  <si>
    <t>Mai</t>
  </si>
  <si>
    <t>456 College Street</t>
  </si>
  <si>
    <t>555-0147</t>
  </si>
  <si>
    <t>Kyle</t>
  </si>
  <si>
    <t>Hatley</t>
  </si>
  <si>
    <t>789 Cedar Avenue</t>
  </si>
  <si>
    <t>555-0114</t>
  </si>
  <si>
    <t>Reem</t>
  </si>
  <si>
    <t>Al-Zuhairi</t>
  </si>
  <si>
    <t>555-0133</t>
  </si>
  <si>
    <t>Weekly</t>
  </si>
  <si>
    <t>Jiang Li</t>
  </si>
  <si>
    <t>Xin</t>
  </si>
  <si>
    <t>123 Cherry Street</t>
  </si>
  <si>
    <t>555-0190</t>
  </si>
  <si>
    <t>Angel</t>
  </si>
  <si>
    <t>Arteaga</t>
  </si>
  <si>
    <t>456 Lake Boulevard</t>
  </si>
  <si>
    <t>555-0102</t>
  </si>
  <si>
    <t>Sonia</t>
  </si>
  <si>
    <t>Lynch</t>
  </si>
  <si>
    <t>45 Second Street</t>
  </si>
  <si>
    <t>Whatcom</t>
  </si>
  <si>
    <t>555-0162</t>
  </si>
  <si>
    <t xml:space="preserve">Alain </t>
  </si>
  <si>
    <t>Margand</t>
  </si>
  <si>
    <t>789 Elm Street</t>
  </si>
  <si>
    <t>555-0199</t>
  </si>
  <si>
    <t>Javier</t>
  </si>
  <si>
    <t>Sun</t>
  </si>
  <si>
    <t>555-0146</t>
  </si>
  <si>
    <t>Utbah</t>
  </si>
  <si>
    <t>Sherzai</t>
  </si>
  <si>
    <t>5678 Hill Avenue</t>
  </si>
  <si>
    <t>555-0180</t>
  </si>
  <si>
    <t>Kaela</t>
  </si>
  <si>
    <t>Samaha</t>
  </si>
  <si>
    <t>555-0197</t>
  </si>
  <si>
    <t>Shen</t>
  </si>
  <si>
    <t>Xiong</t>
  </si>
  <si>
    <t>234 First Avenue</t>
  </si>
  <si>
    <t>555-0155</t>
  </si>
  <si>
    <t>Hamed</t>
  </si>
  <si>
    <t>Sarraf</t>
  </si>
  <si>
    <t>567 Park Boulevard</t>
  </si>
  <si>
    <t>555-0145</t>
  </si>
  <si>
    <t>Norma</t>
  </si>
  <si>
    <t>Herman</t>
  </si>
  <si>
    <t>555-0135</t>
  </si>
  <si>
    <t>Carotts</t>
  </si>
  <si>
    <t>Jonathan</t>
  </si>
  <si>
    <t>Voigt</t>
  </si>
  <si>
    <t>555-0148</t>
  </si>
  <si>
    <t>Elisabeth</t>
  </si>
  <si>
    <t>Plante</t>
  </si>
  <si>
    <t>789 9th Street</t>
  </si>
  <si>
    <t>Fadil</t>
  </si>
  <si>
    <t>Berry</t>
  </si>
  <si>
    <t>555-0129</t>
  </si>
  <si>
    <t>Yi Ze</t>
  </si>
  <si>
    <t>Ang</t>
  </si>
  <si>
    <t xml:space="preserve">7890 Sycamore </t>
  </si>
  <si>
    <t>Astrid</t>
  </si>
  <si>
    <t>Flamand</t>
  </si>
  <si>
    <t>555-0132</t>
  </si>
  <si>
    <t>Hamal</t>
  </si>
  <si>
    <t>Nader</t>
  </si>
  <si>
    <t>45 View Avenue</t>
  </si>
  <si>
    <t>555-0100</t>
  </si>
  <si>
    <t>Gang</t>
  </si>
  <si>
    <t>Chu</t>
  </si>
  <si>
    <t>555-0160</t>
  </si>
  <si>
    <t>Tomatoes</t>
  </si>
  <si>
    <t>Alexandre</t>
  </si>
  <si>
    <t>Doyon</t>
  </si>
  <si>
    <t>345 13th Street</t>
  </si>
  <si>
    <t>555-0124</t>
  </si>
  <si>
    <t>Eggs</t>
  </si>
  <si>
    <t>Tabitha</t>
  </si>
  <si>
    <t>Shamoun</t>
  </si>
  <si>
    <t>Archie</t>
  </si>
  <si>
    <t>Lamb</t>
  </si>
  <si>
    <t>67 Lake Drive</t>
  </si>
  <si>
    <t>555-0101</t>
  </si>
  <si>
    <t>Hana'i</t>
  </si>
  <si>
    <t>Hotaki</t>
  </si>
  <si>
    <t>Snohomish</t>
  </si>
  <si>
    <t>555-0116</t>
  </si>
  <si>
    <t>Hafsa</t>
  </si>
  <si>
    <t>Badakhshi</t>
  </si>
  <si>
    <t>555-0152</t>
  </si>
  <si>
    <t>Cheng</t>
  </si>
  <si>
    <t>He</t>
  </si>
  <si>
    <t>555-0189</t>
  </si>
  <si>
    <t>Lan</t>
  </si>
  <si>
    <t>456 Maple Street</t>
  </si>
  <si>
    <t>555-0108</t>
  </si>
  <si>
    <t>Leah</t>
  </si>
  <si>
    <t>Bailey</t>
  </si>
  <si>
    <t>567 Elm Street</t>
  </si>
  <si>
    <t>Francisco</t>
  </si>
  <si>
    <t>Almaraz</t>
  </si>
  <si>
    <t>Eva</t>
  </si>
  <si>
    <t>Barajas</t>
  </si>
  <si>
    <t>555-0103</t>
  </si>
  <si>
    <t>Shammas</t>
  </si>
  <si>
    <t>555-0195</t>
  </si>
  <si>
    <t>Fang Yin</t>
  </si>
  <si>
    <t>555-0185</t>
  </si>
  <si>
    <t>Daniel</t>
  </si>
  <si>
    <t>Feliciano</t>
  </si>
  <si>
    <t>Dominic</t>
  </si>
  <si>
    <t>Cloutier</t>
  </si>
  <si>
    <t>Hector</t>
  </si>
  <si>
    <t>Montoya</t>
  </si>
  <si>
    <t>555-0141</t>
  </si>
  <si>
    <t>Fen</t>
  </si>
  <si>
    <t>Long</t>
  </si>
  <si>
    <t>555-0121</t>
  </si>
  <si>
    <t>Sweetcorn</t>
  </si>
  <si>
    <t>Humayd</t>
  </si>
  <si>
    <t>Natsheh</t>
  </si>
  <si>
    <t>555-0127</t>
  </si>
  <si>
    <t>Wen</t>
  </si>
  <si>
    <t>Xie</t>
  </si>
  <si>
    <t>4567 Pine Avenue</t>
  </si>
  <si>
    <t>555-0182</t>
  </si>
  <si>
    <t xml:space="preserve">Kristophe </t>
  </si>
  <si>
    <t>Barjavel</t>
  </si>
  <si>
    <t>555-0134</t>
  </si>
  <si>
    <t>Lily</t>
  </si>
  <si>
    <t>Parker</t>
  </si>
  <si>
    <t>De</t>
  </si>
  <si>
    <t>Liao</t>
  </si>
  <si>
    <t>Marcel</t>
  </si>
  <si>
    <t>Quessy</t>
  </si>
  <si>
    <t>Tijerina</t>
  </si>
  <si>
    <t>555-0186</t>
  </si>
  <si>
    <t>Fai</t>
  </si>
  <si>
    <t>Qian</t>
  </si>
  <si>
    <t>555-0164</t>
  </si>
  <si>
    <t>Yi Min</t>
  </si>
  <si>
    <t>456 Broadway Avenue</t>
  </si>
  <si>
    <t>555-0175</t>
  </si>
  <si>
    <t>Annette</t>
  </si>
  <si>
    <t>Deniger</t>
  </si>
  <si>
    <t>89 Main Street</t>
  </si>
  <si>
    <t>555-0170</t>
  </si>
  <si>
    <t>Strawberries</t>
  </si>
  <si>
    <t>Claude</t>
  </si>
  <si>
    <t>Batard</t>
  </si>
  <si>
    <t>555-0165</t>
  </si>
  <si>
    <t>Andre</t>
  </si>
  <si>
    <t>Rivard</t>
  </si>
  <si>
    <t>555-0140</t>
  </si>
  <si>
    <t>Calvin</t>
  </si>
  <si>
    <t>Olds</t>
  </si>
  <si>
    <t>555-0168</t>
  </si>
  <si>
    <t>Gabriel</t>
  </si>
  <si>
    <t>Hurtado</t>
  </si>
  <si>
    <t>Kong</t>
  </si>
  <si>
    <t>Chen</t>
  </si>
  <si>
    <t>555-0179</t>
  </si>
  <si>
    <t>Simon</t>
  </si>
  <si>
    <t>Skeen</t>
  </si>
  <si>
    <t>555-0188</t>
  </si>
  <si>
    <t>Lei</t>
  </si>
  <si>
    <t>Luo</t>
  </si>
  <si>
    <t>Akia</t>
  </si>
  <si>
    <t>Kassis</t>
  </si>
  <si>
    <t>234 Main Street</t>
  </si>
  <si>
    <t>Manuel</t>
  </si>
  <si>
    <t>Jerome</t>
  </si>
  <si>
    <t>555-0142</t>
  </si>
  <si>
    <t>Lourdes</t>
  </si>
  <si>
    <t>Melgar</t>
  </si>
  <si>
    <t>555-0153</t>
  </si>
  <si>
    <t>Francis</t>
  </si>
  <si>
    <t>Stackhouse</t>
  </si>
  <si>
    <t>Alberto</t>
  </si>
  <si>
    <t>Dominguez</t>
  </si>
  <si>
    <t>555-0176</t>
  </si>
  <si>
    <t>Edwina</t>
  </si>
  <si>
    <t>Mullen</t>
  </si>
  <si>
    <t>89 Cherry Street</t>
  </si>
  <si>
    <t>555-0157</t>
  </si>
  <si>
    <t>Sally</t>
  </si>
  <si>
    <t>Gallegos</t>
  </si>
  <si>
    <t>555-0109</t>
  </si>
  <si>
    <t>Tuqaa</t>
  </si>
  <si>
    <t>Naser</t>
  </si>
  <si>
    <t>Esteban</t>
  </si>
  <si>
    <t>Treat</t>
  </si>
  <si>
    <t xml:space="preserve">Maison </t>
  </si>
  <si>
    <t>Herve</t>
  </si>
  <si>
    <t>555-0154</t>
  </si>
  <si>
    <t>Bonsaint</t>
  </si>
  <si>
    <t>234 Elm Street</t>
  </si>
  <si>
    <t>555-0131</t>
  </si>
  <si>
    <t>Fabio</t>
  </si>
  <si>
    <t>Fernandes</t>
  </si>
  <si>
    <t>Malika</t>
  </si>
  <si>
    <t>Nueimat</t>
  </si>
  <si>
    <t>555-0144</t>
  </si>
  <si>
    <t>Ruwaidah</t>
  </si>
  <si>
    <t>Bishara</t>
  </si>
  <si>
    <t>Catherine</t>
  </si>
  <si>
    <t>Alford</t>
  </si>
  <si>
    <t>555-0171</t>
  </si>
  <si>
    <t>Ruby</t>
  </si>
  <si>
    <t>Shaffer</t>
  </si>
  <si>
    <t>555-0174</t>
  </si>
  <si>
    <t>Libby</t>
  </si>
  <si>
    <t>Stokes</t>
  </si>
  <si>
    <t>Nancy</t>
  </si>
  <si>
    <t>Terry</t>
  </si>
  <si>
    <t>Pau</t>
  </si>
  <si>
    <t>Valadez</t>
  </si>
  <si>
    <t>555-0183</t>
  </si>
  <si>
    <t>Jorge</t>
  </si>
  <si>
    <t>Casanova</t>
  </si>
  <si>
    <t>555-0196</t>
  </si>
  <si>
    <t>Nathan</t>
  </si>
  <si>
    <t>Bottoms</t>
  </si>
  <si>
    <t>Chris</t>
  </si>
  <si>
    <t>Bromley</t>
  </si>
  <si>
    <t>Demi</t>
  </si>
  <si>
    <t>Holloway</t>
  </si>
  <si>
    <t>Toby</t>
  </si>
  <si>
    <t>Perkins</t>
  </si>
  <si>
    <t>Genevieve</t>
  </si>
  <si>
    <t>Meilleur</t>
  </si>
  <si>
    <t>555-0166</t>
  </si>
  <si>
    <t>Miguel</t>
  </si>
  <si>
    <t>Howerton</t>
  </si>
  <si>
    <t>555-0169</t>
  </si>
  <si>
    <t>Philippe</t>
  </si>
  <si>
    <t>Pelland</t>
  </si>
  <si>
    <t>Xiang</t>
  </si>
  <si>
    <t>Zhong</t>
  </si>
  <si>
    <t>555-0118</t>
  </si>
  <si>
    <t>Peanuts</t>
  </si>
  <si>
    <t>Desiree</t>
  </si>
  <si>
    <t>Maldonado</t>
  </si>
  <si>
    <t>Cornelia</t>
  </si>
  <si>
    <t>Guerrero</t>
  </si>
  <si>
    <t>555-0198</t>
  </si>
  <si>
    <t>Gonzalo</t>
  </si>
  <si>
    <t>Vazquez</t>
  </si>
  <si>
    <t>Kareem</t>
  </si>
  <si>
    <t>Kuzbari</t>
  </si>
  <si>
    <t>555-0159</t>
  </si>
  <si>
    <t>Terrence</t>
  </si>
  <si>
    <t>McGowan</t>
  </si>
  <si>
    <t>Eggs, Dairy</t>
  </si>
  <si>
    <t>Gilbert</t>
  </si>
  <si>
    <t>Charron</t>
  </si>
  <si>
    <t>Felipe</t>
  </si>
  <si>
    <t>Bui</t>
  </si>
  <si>
    <t>555-0119</t>
  </si>
  <si>
    <t>Kristine</t>
  </si>
  <si>
    <t>Bass</t>
  </si>
  <si>
    <t>Darnell</t>
  </si>
  <si>
    <t>Nall</t>
  </si>
  <si>
    <t>555-0126</t>
  </si>
  <si>
    <t>Lian</t>
  </si>
  <si>
    <t>Fan</t>
  </si>
  <si>
    <t>555-0194</t>
  </si>
  <si>
    <t>Eugenia</t>
  </si>
  <si>
    <t>Austin</t>
  </si>
  <si>
    <t>555-0105</t>
  </si>
  <si>
    <t>Emery</t>
  </si>
  <si>
    <t>Cate</t>
  </si>
  <si>
    <t xml:space="preserve">Jacqueline </t>
  </si>
  <si>
    <t>Brunelle</t>
  </si>
  <si>
    <t>Shi</t>
  </si>
  <si>
    <t>Marisa</t>
  </si>
  <si>
    <t>McCullough</t>
  </si>
  <si>
    <t>555-0113</t>
  </si>
  <si>
    <t>Stewart</t>
  </si>
  <si>
    <t>Frizzell</t>
  </si>
  <si>
    <t xml:space="preserve">Danielle </t>
  </si>
  <si>
    <t>Panetier</t>
  </si>
  <si>
    <t>555-0163</t>
  </si>
  <si>
    <t>Tami</t>
  </si>
  <si>
    <t>Alvarado</t>
  </si>
  <si>
    <t>Gluten</t>
  </si>
  <si>
    <t>Wei</t>
  </si>
  <si>
    <t>555-0192</t>
  </si>
  <si>
    <t>Carmelo</t>
  </si>
  <si>
    <t>Foret</t>
  </si>
  <si>
    <t>Munira</t>
  </si>
  <si>
    <t>Abrego</t>
  </si>
  <si>
    <t>Molly</t>
  </si>
  <si>
    <t>Romero</t>
  </si>
  <si>
    <t>Luc</t>
  </si>
  <si>
    <t>Chauvin</t>
  </si>
  <si>
    <t>555-0117</t>
  </si>
  <si>
    <t>Taqwaa</t>
  </si>
  <si>
    <t>Charline</t>
  </si>
  <si>
    <t>Varieur</t>
  </si>
  <si>
    <t>Li</t>
  </si>
  <si>
    <t>Cao</t>
  </si>
  <si>
    <t>Nihad</t>
  </si>
  <si>
    <t>Yue Ying</t>
  </si>
  <si>
    <t>Lin</t>
  </si>
  <si>
    <t>555-0177</t>
  </si>
  <si>
    <t>Eisa</t>
  </si>
  <si>
    <t>Boutros</t>
  </si>
  <si>
    <t>Alba</t>
  </si>
  <si>
    <t>Sutton</t>
  </si>
  <si>
    <t>555-0150</t>
  </si>
  <si>
    <t>Ju</t>
  </si>
  <si>
    <t>Xu</t>
  </si>
  <si>
    <t>555-0187</t>
  </si>
  <si>
    <t>Paulet</t>
  </si>
  <si>
    <t>Christian</t>
  </si>
  <si>
    <t>Saucier</t>
  </si>
  <si>
    <t>Yan Yan</t>
  </si>
  <si>
    <t>Tang</t>
  </si>
  <si>
    <t>555-0172</t>
  </si>
  <si>
    <t>Michael</t>
  </si>
  <si>
    <t>Yin</t>
  </si>
  <si>
    <t>555-0130</t>
  </si>
  <si>
    <t>Harriet</t>
  </si>
  <si>
    <t>Finch</t>
  </si>
  <si>
    <t>555-0184</t>
  </si>
  <si>
    <t>Gerard</t>
  </si>
  <si>
    <t>Masse</t>
  </si>
  <si>
    <t>Jenna</t>
  </si>
  <si>
    <t>Hanania</t>
  </si>
  <si>
    <t>Miles</t>
  </si>
  <si>
    <t>McDaniel</t>
  </si>
  <si>
    <t>555-0178</t>
  </si>
  <si>
    <t>Maurice</t>
  </si>
  <si>
    <t>Horace</t>
  </si>
  <si>
    <t>Summerlin</t>
  </si>
  <si>
    <t>Marcos</t>
  </si>
  <si>
    <t>Serna</t>
  </si>
  <si>
    <t>Lu</t>
  </si>
  <si>
    <t>Dallah</t>
  </si>
  <si>
    <t>555-0149</t>
  </si>
  <si>
    <t>Douglas</t>
  </si>
  <si>
    <t>Townes</t>
  </si>
  <si>
    <t>Helene</t>
  </si>
  <si>
    <t>Rocher</t>
  </si>
  <si>
    <t>Antonio</t>
  </si>
  <si>
    <t>Castaneda</t>
  </si>
  <si>
    <t xml:space="preserve">Josephine </t>
  </si>
  <si>
    <t>Grondin</t>
  </si>
  <si>
    <t>Blaise</t>
  </si>
  <si>
    <t>Caresse</t>
  </si>
  <si>
    <t>Cartier</t>
  </si>
  <si>
    <t xml:space="preserve">Pramod </t>
  </si>
  <si>
    <t>Mistry</t>
  </si>
  <si>
    <t>Tu</t>
  </si>
  <si>
    <t>555-0104</t>
  </si>
  <si>
    <t>Hazelnuts</t>
  </si>
  <si>
    <t>Qi</t>
  </si>
  <si>
    <t>David</t>
  </si>
  <si>
    <t>Cameron</t>
  </si>
  <si>
    <t>Hyde</t>
  </si>
  <si>
    <t>Andree</t>
  </si>
  <si>
    <t>Hu</t>
  </si>
  <si>
    <t>Velma</t>
  </si>
  <si>
    <t>Buckner</t>
  </si>
  <si>
    <t>Coralie</t>
  </si>
  <si>
    <t>Potvin</t>
  </si>
  <si>
    <t>555-0123</t>
  </si>
  <si>
    <t>Customers Report</t>
  </si>
  <si>
    <t>Weekly orders</t>
  </si>
  <si>
    <t>Customer name</t>
  </si>
  <si>
    <t>Order frequency</t>
  </si>
  <si>
    <t>Large or weekly orders</t>
  </si>
  <si>
    <t>Weekly or Bi-weekly Small or Medium orders</t>
  </si>
  <si>
    <t>Number of customers who order a small Farm Box weekly or bi-weekly:</t>
  </si>
  <si>
    <t>Customer Distribution by County</t>
  </si>
  <si>
    <t># of customers</t>
  </si>
  <si>
    <t>Sales Report</t>
  </si>
  <si>
    <t>Product</t>
  </si>
  <si>
    <t>Total Quantity Sold</t>
  </si>
  <si>
    <t>Product Category</t>
  </si>
  <si>
    <t>Number of Sales</t>
  </si>
  <si>
    <t>Cities</t>
  </si>
  <si>
    <t>Products</t>
  </si>
  <si>
    <t>Expenses</t>
  </si>
  <si>
    <t>Date of Market</t>
  </si>
  <si>
    <t>Amount</t>
  </si>
  <si>
    <t>$ per mile or km:</t>
  </si>
  <si>
    <t>Expense</t>
  </si>
  <si>
    <t>Market Stall #1</t>
  </si>
  <si>
    <t>Market Stall #2</t>
  </si>
  <si>
    <t>Market Stall #3</t>
  </si>
  <si>
    <t>Price/each</t>
  </si>
  <si>
    <t>Gross Sales</t>
  </si>
  <si>
    <t>Counties</t>
  </si>
  <si>
    <t>Filtered data for county:</t>
  </si>
  <si>
    <t>Sales rep</t>
  </si>
  <si>
    <t>Salazar</t>
  </si>
  <si>
    <t>Ribeiro</t>
  </si>
  <si>
    <t>Cunha</t>
  </si>
  <si>
    <t>Sleiman</t>
  </si>
  <si>
    <t>Almeida</t>
  </si>
  <si>
    <t>Couture</t>
  </si>
  <si>
    <t>Bear</t>
  </si>
  <si>
    <t>Cormier</t>
  </si>
  <si>
    <t>Karzai</t>
  </si>
  <si>
    <t>not assigned</t>
  </si>
  <si>
    <t>On average, how much honey stock sold at farmers markets in 2022?</t>
  </si>
  <si>
    <t>Amal Salazar</t>
  </si>
  <si>
    <t>Amalia Ribeiro</t>
  </si>
  <si>
    <t>Anna Cunha</t>
  </si>
  <si>
    <t>Diya Nueimat</t>
  </si>
  <si>
    <t>Fahd Sleiman</t>
  </si>
  <si>
    <t>Hamal Azzi</t>
  </si>
  <si>
    <t>Hu Lin</t>
  </si>
  <si>
    <t>Igor Almeida</t>
  </si>
  <si>
    <t>Iker Dominguez</t>
  </si>
  <si>
    <t>Isabell  Couture</t>
  </si>
  <si>
    <t>Johnny Bear</t>
  </si>
  <si>
    <t>Liane Cormier</t>
  </si>
  <si>
    <t>Maisha Karzai</t>
  </si>
  <si>
    <t>Mukhtar Masih</t>
  </si>
  <si>
    <t>Sergio Galvez</t>
  </si>
  <si>
    <t>Hola este es mi cambio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</si>
</sst>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[$-F800]dddd\,\ mmmm\ dd\,\ yyyy"/>
    <numFmt numFmtId="169" formatCode="&quot;ID-&quot;0000"/>
    <numFmt numFmtId="170" formatCode="mmmm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9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0" applyNumberFormat="0" applyFill="0" applyBorder="0" applyAlignment="0" applyProtection="0"/>
  </cellStyleXfs>
  <cellXfs count="45">
    <xf numFmtId="0" fontId="0" fillId="0" borderId="0" xfId="0"/>
    <xf numFmtId="0" fontId="2" fillId="0" borderId="1" xfId="3"/>
    <xf numFmtId="9" fontId="0" fillId="0" borderId="0" xfId="2" applyFont="1"/>
    <xf numFmtId="14" fontId="0" fillId="0" borderId="0" xfId="0" applyNumberFormat="1"/>
    <xf numFmtId="164" fontId="0" fillId="0" borderId="0" xfId="1" applyFont="1"/>
    <xf numFmtId="0" fontId="5" fillId="0" borderId="0" xfId="0" applyFont="1"/>
    <xf numFmtId="0" fontId="7" fillId="0" borderId="0" xfId="0" applyFont="1"/>
    <xf numFmtId="0" fontId="6" fillId="2" borderId="0" xfId="0" applyFont="1" applyFill="1"/>
    <xf numFmtId="1" fontId="0" fillId="0" borderId="0" xfId="1" applyNumberFormat="1" applyFont="1" applyAlignment="1">
      <alignment horizontal="center"/>
    </xf>
    <xf numFmtId="0" fontId="2" fillId="0" borderId="1" xfId="3" applyAlignment="1">
      <alignment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0" fontId="0" fillId="0" borderId="0" xfId="0" applyAlignment="1">
      <alignment vertical="center"/>
    </xf>
    <xf numFmtId="0" fontId="2" fillId="0" borderId="1" xfId="3" applyAlignment="1">
      <alignment vertical="center"/>
    </xf>
    <xf numFmtId="164" fontId="5" fillId="0" borderId="0" xfId="0" applyNumberFormat="1" applyFont="1"/>
    <xf numFmtId="14" fontId="5" fillId="0" borderId="0" xfId="0" applyNumberFormat="1" applyFont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165" fontId="0" fillId="0" borderId="0" xfId="0" applyNumberFormat="1"/>
    <xf numFmtId="165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1" xfId="3" applyFont="1" applyAlignment="1">
      <alignment vertical="center" wrapText="1"/>
    </xf>
    <xf numFmtId="0" fontId="0" fillId="3" borderId="0" xfId="0" applyFill="1"/>
    <xf numFmtId="0" fontId="3" fillId="0" borderId="0" xfId="4" applyAlignment="1">
      <alignment vertical="center" wrapText="1"/>
    </xf>
    <xf numFmtId="1" fontId="0" fillId="0" borderId="0" xfId="0" applyNumberFormat="1"/>
    <xf numFmtId="1" fontId="6" fillId="2" borderId="0" xfId="0" applyNumberFormat="1" applyFont="1" applyFill="1"/>
    <xf numFmtId="164" fontId="0" fillId="0" borderId="2" xfId="1" applyFont="1" applyBorder="1"/>
    <xf numFmtId="14" fontId="0" fillId="0" borderId="2" xfId="0" applyNumberFormat="1" applyBorder="1"/>
    <xf numFmtId="0" fontId="5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 wrapText="1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3" borderId="0" xfId="0" applyFont="1" applyFill="1" applyAlignment="1">
      <alignment vertical="center" wrapText="1"/>
    </xf>
    <xf numFmtId="0" fontId="15" fillId="3" borderId="0" xfId="0" applyFont="1" applyFill="1" applyAlignment="1">
      <alignment horizontal="center" vertical="center" wrapText="1"/>
    </xf>
    <xf numFmtId="0" fontId="5" fillId="0" borderId="0" xfId="0" applyFont="1" applyAlignment="1">
      <alignment wrapText="1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16" fillId="0" borderId="0" xfId="0" applyFont="1"/>
    <xf numFmtId="0" fontId="0" fillId="0" borderId="0" xfId="0" applyAlignment="1">
      <alignment vertical="center" wrapText="1"/>
    </xf>
    <xf numFmtId="0" fontId="9" fillId="4" borderId="0" xfId="0" applyFont="1" applyFill="1" applyAlignment="1">
      <alignment horizontal="center" vertical="center" readingOrder="1"/>
    </xf>
    <xf numFmtId="0" fontId="10" fillId="2" borderId="0" xfId="0" applyFont="1" applyFill="1" applyAlignment="1">
      <alignment horizontal="center" vertical="center" wrapText="1"/>
    </xf>
    <xf numFmtId="169" fontId="0" fillId="0" borderId="0" xfId="0" applyNumberFormat="1"/>
    <xf numFmtId="170" fontId="0" fillId="0" borderId="0" xfId="0" applyNumberFormat="1"/>
  </cellXfs>
  <cellStyles count="5">
    <cellStyle name="Encabezado 4" xfId="4" builtinId="19"/>
    <cellStyle name="Moneda" xfId="1" builtinId="4"/>
    <cellStyle name="Normal" xfId="0" builtinId="0"/>
    <cellStyle name="Porcentaje" xfId="2" builtinId="5"/>
    <cellStyle name="Título 2" xfId="3" builtinId="17"/>
  </cellStyles>
  <dxfs count="14">
    <dxf>
      <numFmt numFmtId="170" formatCode="mmmm"/>
    </dxf>
    <dxf>
      <numFmt numFmtId="0" formatCode="General"/>
    </dxf>
    <dxf>
      <numFmt numFmtId="0" formatCode="General"/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numFmt numFmtId="16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m/d/yyyy"/>
    </dxf>
    <dxf>
      <numFmt numFmtId="16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m/d/yyyy"/>
    </dxf>
    <dxf>
      <border outline="0">
        <bottom style="thick">
          <color theme="4" tint="0.499984740745262"/>
        </bottom>
      </border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customXml" Target="../customXml/item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Customer Distribution by County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Customer Distribution by County</a:t>
          </a:r>
        </a:p>
      </cx:txPr>
    </cx:title>
    <cx:plotArea>
      <cx:plotAreaRegion>
        <cx:series layoutId="regionMap" uniqueId="{CEE6BFB9-D203-4E15-B10C-CBB76F68B056}">
          <cx:tx>
            <cx:txData>
              <cx:f>_xlchart.v5.2</cx:f>
              <cx:v># of customers</cx:v>
            </cx:txData>
          </cx:tx>
          <cx:dataLabels>
            <cx:visibility seriesName="0" categoryName="1" value="1"/>
            <cx:separator>, </cx:separator>
          </cx:dataLabels>
          <cx:dataId val="0"/>
          <cx:layoutPr>
            <cx:geography cultureLanguage="en-US" cultureRegion="CA" attribution="Powered by Bing">
              <cx:geoCache provider="{E9337A44-BEBE-4D9F-B70C-5C5E7DAFC167}">
                <cx:binary>5HrZktw4suWvyPQ8VGEjlrauazYgY4/IPUvLCy2VmSK4giQIbl8/HlJJJaWq1bfHbB6uTVUZKyMY
jADgjuPnHMc/H6d/PJbPD92rqSpr94/H6ffXpu+bf/z2m3s0z9WDe1Nlj5119lP/5tFWv9lPn7LH
59+euocxq9PfCMLst0fz0PXP0+v/+id8W/psj/bxoc9sfe2fu/nm2fmyd7+497e3Xj08VVkdZ67v
ssee/P76tnhIs/71q+e6z/r5bm6ef3/942dev/rt5Vf99LOvShhZ75/gYSbfMCyYUiFDn//Br1+V
toYf+Xw7wIS8oZTjUIrw689ePFTw5JehvIqsr/v5662/HdHn8Tw8PXXPzsGMPv//p+d/mMXvr9/+
79f/YvLffvHx/MvnpU1hlX9/fV9n/fPTq9v+oX92r19lzn4eWjdH9jzR+9vPK/Pbj8H5r3++eAPW
6sU738Xv5cL+u1s/zeCteeghf365Wv9x/ETIpJJIfIkf/Tl+TEiMpfr6q1/C9+dQvq3mLzLq7+P3
8gv+GwF8+cj/wAje1tbYKnPm62r+bcb/hzEUb5RQmMDlSwzJzzHEKpSKUPp1j34J15878euY/u+D
+W1a377ivxHOnx/6HxDQXw/xh1njLzD0L3fGfwq1AqAWU0Hxn1D7U5jRmzDkVGICm/j7AL99cAbq
TG/rr+//TdZ9KTw/wez3z/4wuy+T+/Vy/L8B0X8NsN8qVfzQP6w+17jvMPbXd7+C84tHf1kqvyzy
7un31xghKgQX38X0/EU/hCEyz+XDtxD8+NTzg+t/fx1grN7IUAlKQ4lDBlv69avx+cstgt/gM0wr
SaXkAgMg17brzeciHIZIECEZI1QSCUXYWf/5lnhDOJJSYBYqxZFi3wjGlS3n1NbfVuXP169qX13Z
rO7d7685h0xqvnzuPF4mOcYoVEQIJkNJGYHxNY8PN5Bd8HH8v8oyVVm91MFV2VCnLoipO3o0JHON
RjYnqxaPmVZmDHfDkDS6xuX93FoX2yzILnyFq1MrO/bgHHcRG5I7OxtxKVteXcpBjZpnldxhbsTb
bhaBzlDQ67xjd24astUYcrPJ6kGsipSWKyYXrvO0JVESjP1+qmq+aocJvy+ZWbbcqEaLNJlubZXj
veXtvE0YG09Zw7NN2s6a+zkeLZaRVFxEKTGtbrucrTzpyJpMnGovkk73g5u0NRXd5uGQrl2Wy4PM
JrRaMBHal4JomRWfshq7g5znee0Nt/EoybzKFpqV0ey8WZXD4lbWTDwWNJDbue1TPbRk2VUqd1IX
zGIdFumTN5Jq4dD72tDnkQz9iquyjYqhcbs0G7uLRCz5gYaifm8ZCrciU/5qwAjmj5cb1iC5zcuC
7UVNWERxvyMqLw5IimXFgknqpBnMdlEiiTCrbH/NWvcx4XyKcoZuaahux1TsFhXOcd+SbSGWDwkn
3Z5b/I7SeleLGetxnN8Osm5XJGAfxh4tukpdsGOQVPD9YorTcU4gRv19IcTVVC+fVMGvUlLO0ezF
h3nobueS71AXtHHS93dqGIIobNr7QaDrKs+oXnBh1qhwhS6nnq34OPkY0SKJCFouuzKtojQLLhGV
Ub64S0GKImZLcUdoka0zNaaa+eoxDdR4uQgxajVMjZ4L9zENOqOZcEbPypdx1XRh5LpuMw9CxWNZ
kMj5utUC0mTyi4haIRaNcZBqPrdMd8Oca2oyp+UwHKbE2wiFqIhmNlxQL916WsJdFgQ7U3SXtVJ+
1Ut6J5a20QvlD4MJjor1+9yNTWRlimF2dQZJKvOPqpKjpnhaFbAzNkpMnVYlmy9S1lHdmHbHqnpY
GeSap6GS89GU6agX1gTrClO/7fulujZuqA6JwH/gbj6WTB5tWVZR6XdjsIxa8l5uyiZUkOr2D9Th
DcYij2nQDTrHbba2U+N0M2U3rOpF5Jqx2VpadCsjsmJnvLQRWx58jpaoKOh71ybrgGKjQztd+GxK
tjUb7qlEjyUfypU0Qx03mO5t3QwxzvEYJZUiq4KRKmqSJdBVD99AWOU1pBHTCTEmkkvwoWkhocJh
2ngs9pbCYjs82FM2NveW4fuAjaMmJGijqRK3NEgqrdp5F7Z45dq0OGEDGzcQSROVzj9nvXsrPGl1
mTOnR4TKdeolXadDk+pejJXmxUijJihJRNTS6AIPSAuR+TVbAhYHwpIoC4N9yMo176YuylpJo4nj
XcWsi8amvSPpNOukzD+xLDjYtr91rYVpexZNRuZRP8HtkLEnN9ProqrTiLcy1Y0nc1wV0yEPulSH
/ZDrrnG3ApdED2g4lFnXboqZlXthGu3yAsdlmO86k1sNKYajzqY2CmbkIjlxq1OJTWT8kkalsHSF
ZvnEAxtEPg/6t7Y3/tBWM1lnrVjXrTo5eEi3QX6TpeJKTSHSIWCvLokoo4Lw4yLHezPXyYqUptKW
e7QKeqEi5mEH+QL2aEWHMk4Sf8HDfuVIIHXHJxfVxfBuJOIJz6GMwzCz2yWs2g1JlktX9YEeZwiv
F/QDYmmtrWUHUJONLpH7mDMG61YiWPXxPrNhGlFLyu1MljkOeM20rMdYUfLWFfxmQWm2V2n21FF1
mnP2wZvCa1uM90tBylVo6Vtfh9nxDA5rLLvuYJqZbBMajpsm7E51bUQctIJHi0Gf+mS4WlL1rmyr
LhITDDET7a4LAhQZnnRxIXMemd7zOJUjWleTv1CjXzWWfQxZKzURVOjZdCc1DePa1Fmrm8om2hh8
OS92T107RJTIB56nG1+E+WoeYLnHPOt14tgHK0MapaJ/N/ftKUXDGoCyjxwarqcGQGkc+ziFOqb9
CJP0mKbRiOpBkxBqGGF+ARzqk5hZA2q2Cng8zvkcJXV/OxpY5VRmpfZDf5uOptNFPqxZAO90C+ni
0ol7O5JnOnbNpmN5HwVebd3o7RXKwkoXqHgKCRSIqaCDLmQCxaoZktgIfFgU341z9Rig8Dlg/Mal
ttRzWL5PeA01cri2ci5XwqQ4Sma7T/o6j7jvbxOc34SYjpE836cu0FCzeh129jC6zB+63ALOpt0Q
dSEM2A7oxHB5zYHp6Hahz0b1JJqyhEM1tgPkKwB6zupc55UY4yEgRyFDF+G221E/3cscw3PSf0xB
Ha0xS61GU11Hlss/+o685QKSuK3z7VgldwYWO4If+cA7dGnRTDcz7W/rAdYEQerbJu20GGB8sjJb
kxd8V/CwiUKWttqm830QDtddWNn1gss66rn7WHUq3HRKpvG0LPMqnIBo+KF6Pwol1zIIeZQ6cykZ
RGRsPFq7UG4ruVwmKRojUlXvbQh71WO773rI7Kp0oWZd+djM3RIt6ZwAi8khmjb4wyiYW13iRU9d
eRibhEI4/HYYuzbGHb8L1LCuFnZTi/zTxNpRF3V5l/Nwhy3gcB0C0iypZZrhABDFZf1eZfMStUl3
Qk39AQ1eQIUo1hxAnMJgtu0MmT7hud01TVXoIAj7O0rGKh6rmetpkcu+C6AU11UeZ5T2cTj5nWv5
0+yydziRT6pzTVR1wW1X1h+XuhijPENA3ObyHSr7KcICAzBixPUczObIyiaHrx1n7REG3ggMbGTp
sC0ydU2GvIlUE5KNE8D9vJREj7TdtpNjMeYp2/YmfWyAEbbFyHWVAz/tE/uQj8AjE8M/srZc5wJn
q6ZuungZqkUvPgs2LjUs4gsEeFgIXzmXnYGvvesz8rCw4GrkOb2uK7HCsjh2tV8FObtqpyqI6pJ9
Ym7ZFGPaA4+wTVwkxXNYiCfTdmPE0zGIpEmuEpoNOswGv7J1T7WcikMzpJN29dTEmC5ZxItWxX3d
D3qo809kDi6mgucHlECmdTl+L02fATr0+wDPm8CzZzH2c1SO/aKRd1O00HxaDYodTOK34CW8XTC/
bcs+Sgo2rGloP2VDNevaoU9BCHjYDnw9pMC3Ez/PWvlqiE1V1CurKORInT8UpFl/75j9oDYeLSRn
lpo/Hc1vL//rzlbw32cL7a83z4boX682z/ZsW7iXHzqrwm+f+suGO6uwb57cC233xVX9F8Lvlzf/
I1UImusvQ+cnVfjNBfmqzf8ShucHvwpDgt4oxAmYqN/0IHnDQIMRSZgAWUhB9P2lB4lShEjOJcFE
qh/0oBAhiESQqxgpCq7s1/n/ECEwoP9GD2IFnsOPehDxkPIQKR4yiohCP+rBjs+wCVHjrlOnOuDY
fVEeEspw+GQzFsSA7w26aSmJRCsTfJ21aLBrx+9C6qoxZqy4Y6gsNaiqWrMy2bZyuG2Bk6zTbnw3
F/wDFoCCqU/vM+lz4ALjhQfIbgC6UZvXETmjeap6tO4A4NVnpK/o24KabQa0MWrpcFGcq0Jxrg9o
HoyWoxui+Vw9snMdyRx/njMKBAhKTAOlxp1rDjtXH3euQ+nU+QOH0lScaxSDYiUxK1f8XL8qVt7M
y3BbTV0ekbzdy3Ots+f7Mp+uK98cWmvf9+e6uEh5I3r5PEDBrHu56wd6SELaX+ayPXYdvYLyNkUl
lFt8rrv9uQKn57JzrslimZtN2oTPfLKPWZaqyPqq1wEBEpAh+nZUsIhjCYtI3HALMmUGcMH5Jmkc
MH+QRStXzuURavyg+zN9qFTttQzhZTopHs3AMjpgG1wEQACWYc1Ldxrt+M7OCY2qhH9Ih7LXoMIr
jXhVxwVqLxnwGXYmNm3R7jNgOu2Z8mRn8jNVZFzz0J08uCa6xF5qLPnHBDhT0o0XQPDQukwWHpdn
YpWdKZY7k60WZK4806/qTMQQMDKg7EdvcKXTDriaPbO2FuhbFaTTJjszOkYcueBsKuPhzPc4ED90
ZoDMzfeVP88yJ58ssFKS1thPgOFdUn+qVV9VUYuTyA1D20eLxE3WRmZoEtxENR0I34IbZ49DJ8dN
WgbVW5xP8uPUA/Vt8/wEkNjrLk+Q0WTB7bFUqtqLFiXvPLE8gcpT2w95kAafJu+SHeMT25hOhBfp
4oJNHyinQxeIU+EhVY3Hw4OgtjyUdLaQd2MSc1sOcSqs/NgCb6ijFNPs0LcjB8Zb9evBlWEEXgYI
7TlXbbx0bb6zM0Wg0ZLBhYf/H8H5e4gFh40BLn7rdv0EzN87n38ZfX8+9hWWMX+jMA05B3udhiH7
3q9jbwTlgM/4jNpfoVm9QYgw8OMk4UBepPzLqgvfhAxor6JgHDGGYXT/CTTzF8gcKi6xAq+YAzsi
mMEPfe/ULXZpfeA8vy5QmMV1V8w716e7/swqU1/Vq4qGEZMEdLDCxYaP9lAjZNd2xNXeNbJdq06B
meTRKSiLT9+t5N8UjrMj/UPdgNEphRU0nRTjsEDnuvKdj5iGEyuF6dk1xxY4vWWnUgWt7oEP77IS
X1uWgESwXNc29/FsgzIS4E1ufepYJCqZgb+EnU6WThsZ5sdk8QrgXRgwUUZz6ZNsXVWgLxcOussm
H//N8M+L970N+nn452bK2YnlEP8fh9+lfTF2gPPXi5qa991i84t2ycGnE00TNQsjcYqNujJIezq+
n1PUX/WYHCouzJEalh1JWu7bXtYXwpaRDApwinp8r5pul9lAxnWVVOuMgIAZBndDBHGHBPwimwCP
pg0Sxyoor//NnF6WcrCdCSMYQTNQQQ6+nBOhWVqrvKTXkOj1pnNIREMn0jUa050nAKTC4PBYQH6s
m0LKbWJb8EWwmY8TS8ZNJtt7Oc3tQVR0rfIWXzB5R7LMQ2Es2A0vOyjUNdaTSvvVr4d+3jQvwgFD
h70DrWgMu4q+yKa6qROfNopc40ZGiIOtMePNWLWdLqssiUQ6mEO9tEZnc3EafDl9aFzUy3EdhsGw
zTOsVuC0Z5spXaY19RaUeTFmm9FAbYMpHIKcnIIhzaJZOKVJV4NeC+iqtyM6GKZcLISbQbkUap9Y
Ua4hN7zmYENrcOsppKSbVn1F1KrNljwqRmPWLbfZJhgbuxX0Mkwtikpm0+2SLOa6SZK4TXrQMIHC
u3ZOLzLD1enzpchjMfBqA164j7oCneapzXZhFvRrXDnNEsT0mNr5g7K8B66TvR0C6095AJwEoGLa
OASqECRxvmaoHy4//zUWw1WR98UK0cDdUELsBWqTncVqA/QuViPopZEXd3xhXdRNBV4FmPV6zrt2
N4EujsegeZr5pHbQ+nxH6rM3OUl2bXCzDSvXbX8db/J3qcqBu4ZAiDGi7AXrlKMEXS8MuQ6IPw4C
2EUJDs8mcaUufMl2UpCLkTIJBdHdmyykqwIUNehzm0YLSfDJ2GbjVRDholuOpcfXYxCnRTdpquYF
aqk6qbBWb//NsM/D+hE1BOEKsEPIM5VXL1CDB0jkU9jh6yUMIgBuc5MW/JKKoooJr+S6rUkOgU+V
lkLWJ2bcPguKW6cekELkwFH2Saa2246S0Z2rlA6YqVa0rZd4Nj7b/Hq4+G9WmWJoNgloGwEsvMTo
Qam6aIsJX1eJbK/QDE7jXHzIxvJovPVg3tRtnNdyL2t2xKDdjzjN77NC9rtfD4SC7Hm5bhQrBD0n
sPRF+Hn7f1cskln0UJogSr4GdVBgduzelibnRwtkzKDA/1EN7wtbs9tsKU4pmVTUj4Rcfl7K2fXr
bB7Li67uWbzMPkqjAOVk17R1ozuHwzjLgyMEZ9SmrrcD+Mo7kg03AzRlLup23o8JVus0wS7qgOAd
g6Ce90FevssLE0S/nir5mxSBJj0DSoFFCL3eF0hGWGAVkEh07abskfkxP4wSEb10VMRlHt7MrvjE
rbwOgjZfgZdRfsg5PeF54CuS0WXd5L3fzHLpdkaQA+krNOglmDaLqoO4DepU/3rAPzUEoWpAb/Fc
M+BfUJbn2H0XG9zkKAuALl93rpcxqbJhAyC9WYQHg6oXlxJ0o27LDFxjUYQrL5A9VNBm2zlKYnBC
r7BZ8IrZ6TGUgzxiA72cUNoPDOEhggIMXRHQLztD8stxoYEmfKA7yd7yPpVbZGi3LyzYVjX8wtY7
ujeKM2jsOLPuEAXHBovq6Ku5OoKrRMEeOwgy3RSIyGNfDApkWoe3wSTA6BzW9SKHC1CgO6gK8jKf
lj5GNbmqXRp+CnIf1VmDrwMv9jT36d7m+BarlN5XU9BpTCzbh85qWlfTKeE02FemgyYlTIp0dFj/
et3ZGSteYIkgsCXg6FhIFQDKj+uel2ni5azwtVJNuYBAHG5ms9jDIrpuywM+3YDZN0YZ8IvjPC9e
m3HecTur1RBU3bZCLFl7x/YgfDasDi68pz24mFMb5SgddnlrwOq286FJ7/3gooRKtW5a38Sc+kwn
PXDDema3ac3VesjzyyKo+Z2UQVTW5LBQT07SNmC7zsl4IgVbL2OxbaQtbwcwVyPVs3VlfL2eoA6C
DS6aVRUWakds5/9NhmIg2z+tFGVMMsRgvUL0YqWCifiBJwyDlV6/ZW2aaenNu6KERHQtZrHkAfRv
wCKNkqyqDuHca+Mr8EbZ1BzmpHSaNvOppmKOfx1D/pK2cBQCpoFwQDhEEo4Q/BjDqk9JjorZXY8N
tYd8LNyVCsNaq+I+aQN57ERwnAJW66DJOrAwy3qTtEsIrbwmiD6nb0OLYRvOXah7EtBTJxl0h/yA
jnOiTguB/k+a8HLDCDQKWQ/d0cItRdx7M69quk09QzcjuAcc6mIwLlgvDWfQ9e0fgrocdzjRdbBk
m6oM25Vl0LqaymYzt4vSpm1KMENQBCIWkp/yOkJDA1ZB1sRTYrzuM2XWWNguqlkRRiZVzZpWaIrH
kMYU4/miKB7yYvbHDPooJUAzcA977vj8UVQYrwdJOz2Aq7xW6dhFRrE0cilxUWjZsqKZTWNRQ3f9
1yEhisExih/SBeQSgg0F9hgDY43LF4C2yEKJNpvT66AY7UV1NkNYUIooBOshssExDNunLJn6NXgy
4OLk0IWitbnrl6DbjWFRRkZ8lFNXXISzh74mEcsSs6YF2ojRTohOmgis2X4dpsxFOf9YuhS0TT4k
q1mN6MK6bO37orhC+H3ft/imSKb7fuDoBH5QropLNARpDAuGNibvHjPPN5We0ARmTmhuRvAtbqHN
ti9oCo3VnAyrmq3AtpnWEra0pjbzp3qGKQ0MA1fN08irFMVQcfKDz3PoUZQ3IivLeDHAkgautlym
US67Zt8YWWgu53qDugbF1cSgM1WL8Uh5MR2//EX89VTB6YNkoqs0S5IjztwKFVNxGbbjqrJFq6Hh
LDaihO5w6lvtQlSvGjnhbVqQG7WMyfUcUe6PNQcPpG/zt3gU3TYndj91yq6WIoE+/DJDppWL25ga
epatyC5TIxX4Ms2wEbkTG/haCg2M3MX9mIAY86zVRTjlMbIzuFNAei/a8t3cYbzzcBImWhxKV3wi
+6EN5qNqcLXq3Mop4ANdMk7XiWzSCOc+v5gleIJToviKTtXj4ot5W3cG5hmyi4n5YxDCaMqo8ml3
STPTRnCMAccDHameBK91hXq7muDUSRUOzzkZywMa3UU1lGjDZTLFnQfrbgn8NRsheyC85aapoJ2a
B8mmM3NwWsY2ChM0XOSDoldDn39wdHmoZW3WeVHy67meNdQMvBskv2Jd8q7LzXKV2XHN4GBi3GFI
iJwF66BxdtsWvFyH1j2xkpDdBGdL4JCDRHddb3fWoeUAYcuiQEIHU814S0OwDktXXGTBtKzyZgE3
sCibQznzqwa2ynZqVH9qYtA/yUbV5iitf5bYSvASXH4q8bxAAadubRLnLpI5cxdlp+Kl8t1OYlkd
iJpXYGe0UZlAvVWtmvXixuoEPubJZwJpxOR0LRz3cUOCaKhhWhxOOl/KEpr8lTTNOstMvbahhSbS
WHXQb4am7ZCACkuXnUC4uBjLT7aEDTaVQm0xai8UjDkBymVTN51mmqSxDxmPMwKejm6BgQMgdzIO
KD/0fPCbsVPT+a3u0iypu2Tl0sP5DgLLalB56MomXdmQNbFh0AKTaPqDwVPHAKEarIFAvp0CmP+w
bBunel0sDF2VfY+u5mUer/JdCL0ynfWwSC5vau0rSnSlmjoqTJZeQOt131sWHivDwegDYzcUyzbr
J36Jy6HdlNbBIZwwCKNULk3EBW1WpFOPM7SwyoF+mBIZbIbcJWM89b7UAjJ/NU3FsqdLClhr+mfR
59OFOl9Eg2ponIIpBNpOHBKTFJthKp/mKk2vln7sdwFJrqxMoqBd2B2cNTt1XZKeMk6x9qobtth0
f1RtQW55Sg4mmJeLDG0EeA96oAT6hZC2H7NleZqTQGzsAi1E3KvhuDRYAxkzEcbddGjCe9OAFioW
U4DljjVTi7j6zGXSPLt0ExwtS0R3kZrEbNOmSjZpIWroKVPgd0PLoL+a8xWcjrH7UcChHp6IK2+n
Dy3v92U7mVtWsFUScrca6PIuNHO7rlqhNPZtEbeDsHcju2xyAacLWnwJOGVi3+RbR8IUPBGXrEUx
xJSDn9xzDo8NU7c1Q/BswGnf+S65otYa7ZRn9xiT+8As02qSidVzFnbQmAdJt//uT1Dv8Hozkare
g5pt90Pm2z3IoubLS+ImaCd8viNzdQmovKyZypp9WMsFjqVNgNVfXiMDjc3MSeiKcrtvyfTnxUzB
iQgn1lMAy+rBT//u0qk9yppwJ2oG+TEByq6EJE8JUt2eUeBFXCR9XIRi3mfni0iXeZ80QgecDNsW
Z1EL5W5vxmHYEFLt8jSYV9U8PHx522RHw0mxafraQ0MbLhVN+r3PKgKOSZjHcATD7SuWxAIk/TaD
0zNwpiDwbv/5YjB1+wDBpS/NI6/GDloV0PtIlJtXBPr16/9Dx5ktuaprXfqJFEEnmlsa984+czU3
RK4OkEAIJJDE09ew965ap078/43DdtpONyDNOcY3phH9exM173O8zPt05SinxNBXLA3FCR4INqC2
zcpw9btzInCybDOIH7m516DFQj0EQ49S6CQWC4RR6REfkv978V83N8NEuZGJ5kmmWGUiCXNBiY+A
GIHioB5P94stWeU/1+43Z0eiw6pYkbF2QhuJC+zF8nS/eb/WwDro8/ttZuHu+kQVYSIeZ+u/sj5q
jkRjS076hOwNFvsyaF0+t0FWLjHf9mM8vvkRdNC1WVS5cgeMg80lSfV5nkZSJf5vT8ZXYxgQCw/w
wZysfsHT2OR62qYCHENd2ij2KngNXtmDhkgNGx/67E0jZbJrkppXJOg/Tab2m+ko2KbYAmjgcVkb
uUvimuStrIulpS5XDjSB6gEGmmnAFwW94mRmeMwZ+cwCXnYkwenZosPluj/OzFSzbg5W8ahsVgN0
hM2XlDtxpGN7TCfs/X3kT4dOfArS7UwqllJvakAZ0SwFGddLYPt7r94Xfk9eY9rxsgV3sp9hnpWD
n8D5C9UZ0tBB9CkOiMFkHKrghlPtdoHt65g1s9rf72JkEqf74+7X7vf9few/z/1f//z3FWgLcVCv
pAUP8P//z0FhSc3//hs5ed0+c/b8H6/N748JprXf+yI5SefwlL8vLm9VUd1OvwFSBFt1/8OI5QmU
3qrxi2zo9e6vcP/L3+fd38r9Jm/kjfRsSr9xpKQzW/Je2B1jOENuXBLOPjRI6ah/MVbviYVVijpt
K4OsDvs8rrvldL/YgmAGbuaFBWUaC77zd4FbdSH8FLAemIMipRztJU28sxfztOTZio4jCiCGyeBn
y7r42HktPYl1oiduKNxMQTNvR3T7atIUZ/L9z/eLBX3QKU0yXgSTjIpMhF1U3P+CXZCeHGOgiNi2
vz/uftf94n5zoCI6EEpLdXuR+/20T/+9JnsPqoHHsvLvE1DJ99iJ4TwM0qUHCuaQpUQfB663E52x
edbEU0HRb8A5ho0e2NfG1K90oGkF+QnkU0P1BhAYV8VA1Aa68oZk3e+4X5jYk17FQGaeRokibJnC
rKx97AD3i2xc/712v9myGl4jjXDo/n1M+v8e/fe++/Puj/6vl7GN6qtMpVh9jLdF5ZIEEBGC2+HJ
ozDdbjX7W6NNtwvgAaAAGuxw+nshpjj+zzsdpf/55/+6eX+eVp34j1doXJu64u8r/k9PQTmw5onP
p7JdoHX88+hhGLN/r26hxbv4+0zVcb2n2HJotGCVD+pDnXb/983/fdjff0o6fI9/b96v/dfj7m7Y
3/v+44Pf//JfTzHZRKotvAKSeZohn+ron2/OAniErXx/HcCvSr96t2+sHvgwHO7fjOSrGA6bl+Rq
SCjAMryzv7/o/SZgBTRgw9jj8p/r97v/PvR+7f5Dg4prNogstyesq09cIZJh24esO6xegLrfbJms
1DKWExrx5bbMzc7QDbQnjgC7BUx9tbf1MLsvHUDhmsqfDBofBdtaiOEITFmfRGD/vZhVGvT539s1
bUhBVEtz6ceySjaKDuP20rcXbW87Kg38BrpEfYa13uWUzLvOS01x/1bvv8uMwncXTOObRFd3rG8V
THD7gTf93ne6un+B//X13+/7j59I3g/Tf771v1drLnHYdMvyPV2anwnp4GKBUz27cbMAvlIJoDhB
LNPWQLyJKfuN2peRcw5oFx2Xd4P2VLrrmEz2MQDYGw085hE3vEoSoP5Sa7VfswWAIUrJnAXbfIUF
cbVTMH2hTySuw0sqnmufNkeeuWPjNUmxjU2Tg3P4sfkqephG742atTsG+mHh3nzOhugZwYngAKHl
Bxh3Rd1DlHBQDliCsefBJVLTXI3BFF+7pX3bZpKgRIjemJnYHsDxjxGLFdIKzMs7s7YV6bDX2y77
Ps3CfxgXkxQ2Cuuj58i5ryWksdj7nrUpKLCAbQed+t8QT9gqh3jHEgBtGxstH/k27eZFgO32arsT
Bg09idxnt9nvgqzjuWNQoDwPzRMcpgC1QRbvZsXR4XPEJmw42mPm258bDOCdGUi2rxvVPHkKzHmp
RDQ/s8Z90HhMjk4kv0Q9uJ2ngKfWFBA4kjIvE5KoL4napr1c2fs6RLqCOdyXvpNNCZQirdhg6Gew
QjAL/a0By9cdDU6Gx2aEWtW1/bqbuvGaMe8LdRHFFltnRTfYBoTL/CBcuhTdLH4S4YnrKi3D1sgO
0EGfsCBN52iL22Pf9Q+Mxeuxj/lzlHnD27I2Icqi6IcNnPcx9wcPgN15JEmyy4g3lsiG7Jd4TVG7
rOxYp01lHMdWyKbspEJoBvg9fm5J+LACZzx3NfbBGtQl3KE/wwidkntDXHhK+AWdmj4/DfCBLsOS
io8UGQkSvlk1p589MhJ5EyzBwR+bfp9MhdR2ufAYiwL11fQUKLcAQvH3vfKzyzSmeaqJRZ1db9U0
ro+rW6ZD4lv30rXzgS4euHq6PAfaQkIJwZ1OQ8rPje4UDjWGRg8bHUmThy2qm6NgMDGZAA7V9vtF
P+uF8XJZkUroV/nRrIl/C4wcp7Xud4uDhuhRmZZzzYciXR09W0O+LwdEWZ6d5dkFFPqSe0O7njv/
ByHEFGSFneBU4/Jo01lRxxM9glTbZ09rlm9BSrBcyIcMInZVj6n6NQAWf2CZ/wH/BhUsOvSd75sK
Z/f4YCccWM4Aah1mcfbn5LWVYXAZPjdYzh86+xFI9+I6UT/7XfQ9nCL71NiankbnrrDwhgeaMCxi
mbce59F6hRvVx2xn+hpM/NoHM7soz/4UMzSqBvGgqyOA3xYDHynzdLnBXH9LSV8ZD5CmGPh8EGr8
MGEqj+hPj4AivH0X2ssaOfgX3XqU8E3iUczn1d+yKggY3h2+4HyuI3Lo3fbOZD+/cZuzOrBPHHmH
uFHP6dAhNRCfSEd7SMVwRf0+QYmE7APbnN3PXeTtYdrYAsVmk7ek8S4pwkz7sYd/MAnXnLMuLgQN
LWRNns9c0zIEenLWW/bFrkF/Aey6FWuwbKW3QSME69+XYR2FZxRethBDwA7+FCI2kRS1L5aCDuyr
M3jn6PYJAHD9lYwmyYO1r68kEb+dFl9bmezwELELgxpHt7cAqrPL8gL04BVRLegJuFnWmwzhthAN
L/5H1m/+g5DpA0IB6ogk2TcPXfGDloBkXRsUMoy7E++34QLb9WfgjW+ZVW+6cemukclhpNuVDfLr
SGakG2a792p4rZn95mnEMEagNBXL5hqhthDS92+PHY2fzZ/+16AW25W0pJrno0wW/61z3zuE/Y7j
iqRUsMSHha0vmrI/lLP5YHv4JnSEmju05Ype9g0EfZPDaZiPg3tJQUtWq43jIorF9mpWKIyhwA8Q
IiKUoGvtY0be/cA7JMkl6Fnw1oZpaWEHXOgUAHxLs6QYCNJLLl29s2u849jOu5W6LxtyX5VslH6g
4ImrcZyyKktePRPNl0ZoCP2tLS1b0z2p0QE6kjR7Bj0qj22Ti85chNeTK13KSC/yNVApJK1QPrYL
0O+085fLsP0YjZufU8h1S2BeUcrFlYF7YHvjvoaKX8Owv6iQta/ZDTP2W9CTk5oRQRKmfSdhvT4n
HoSwLQP+s8XL8+p+dkE0/yAqnko5bV2uOQ5aqJECbbQJkNqxrpjXxkAD4vLZaexpaQ+8fLkZfTgh
5sOyPa86Wk73e2okDM6hFb85y/pDHC3F4MZ4j2jAJY0oOWwKNVSwdW2papwwcmQADvF/IrbKa8Ps
sjPU4LxYBg5pmLN3p+N8bsa2cOnAHnW9zDisBzge2YwLKx7tQPvT3PVzhWOiUHFwXhQ2hiSWqpTa
/UKS5sGNvp83rvsk3pwcG3Fbtgdo0U5EOL9RVKL0mrMd2HhI9w7Qw6IPG2qopyTW+1PojfRoU5JU
3o1q9LyIvPY8zhEc/SPcYj4kZSfuxR1Akb57UT3oWdU1e2Q3t6c2459h68arWoWXK/jUJ/2MBJQ7
x1O0Y1jo97Bd0MpHyX5yooHePWAPgyoaxMd1jM07pBUcvgTQ+Yw8yxg20enGKKNWMp8Q5719z9DC
p5PJrhHLAA9tQZ5Zbh9m89zIb/iX29HgW9g5f/vaxnOUO6+VBSergnMfItISQTKt8c0UUiTveuQo
Lwidy2Guk9zn/EvTIweTxsFWtCZQO/DJkOY8eLuybkXuqRakZ9B/jaL+fTURKlhIrFk96dJ1BiBq
a984FYipNRHfGdM82hnqJ4vxJhgJk6JL+4MJXbqHLAxxpRlPXvwJ885/8JJljy8yHAbzLRTKr2La
/G5mOHMjfKZnawnKSt1ekuzJNmtcBqJ/HRscymuXrqXysfyjhMFR4bZHH7T+KUOvbHSiHjefqipu
7EeHrhkK8ta91fFybZqaFhN1235zWZHW0SFk2a9usv3eW3G6agBEFUvUA+F6Lq0LK6ai5IsX/UFV
1x+ywCSloAKHyyJ/w8x5oUvg/QpJByE5i79g95JAS5PSj8BVyT55b7dh+2wbsK0L2wSOjwk148rT
c8TjOZfBRJBbRCCQUJMdVXPCFup9eJP4kUhZZZ0yp7pDMsUhWAeZrV4uW9NmF4norx8nqOtBj1Rd
v3QHxdFpzKilL2jFl4wnz0TdKq+6Pyz1wvfcT5+3ScwHfZNLvK2Dy+bLcdf3k9wZRGzbJlogC8dt
3g4GAATjaJQ5i79lTf89bYchp308XYy/lsbY5uxp1+acG++gEbMoTBM+pWJIn6gw+xo5LHih3RmW
4AFSNnSVaPs2ZcN4nrAYKNgxpb9AhhtDpIzAttWnaQlfGJiZoqexPkxEoVqOeX+EWYVnWxh2PYr9
tg9t4WXBBVAC9OLIejl7lwmpc+3pvtKJBxApS5+kzdyJB943zJ6RZe9jQ0lgqgq7XlAqaLwDGR6Q
uv01Uf/Rup00MdbqIanPE8+eQIE+Bj7EFn8SR74lvNCDKruBJk8TG79Jn5+7RZK95wcqJ1tS5wzu
214ZvB2UVQxMhF6P4K9fmCPrMUsXXlqS/kHBE57JrOp8zqLtaH1zjLG3PYJ/Os6TQVWBhDAkXPsZ
KxgwEVm6d+rxxyFSJ2trlE2x2nbdPPGK6wTqUkhx0ke60H38gOzzkKf8O5Uu+S1U/RmN30Do25eY
eY/9En4bgZY+IuTzRWTcP2mkSKtAKod609RwASk9EH85Iwwoq7YD6tcKBM/jCR0wNhbgluvwABbr
1N5ec6C6LwKEMjP/be3l4RYphdO2pSfdUlhfXvrCsf72bqHnftRzwRzYOcCFw96Ta7D3I5tWoG3/
QBt/aVuBL2tM8PMplscydoet8b+Npr6iPFKnNIz3M2u2B68DbTDbp5Vfkmb4NkXGfwpukXV/mmRJ
x3F7tPglchnOdZUS6Pgh0o2+Dve1009Op8uR0/o0Rq/x1EdXX2ta2MYfr0G7PvcszvkYd9esRuZa
gpra9b48NRkiokmatvs7ntl0fYBQeNvvsL4W0EsUTA46ww2iEoH3VZbzrRjnxD78WEP4Nwtr8jte
MrRjkXpe8mCc+unfgsEwqC9rag5eqrbjEo9jgW/BwQIGuI7AdHk/xoHJlrwZ5NF05g8wxH3rT3gu
j+D2w6zJbQC7urOoKb3oPC3976nRWwkMx0NxNPJTDHo0rgf/pc2bjzYlF7g040NjvxMJUDOFCPkE
IJqVzYT9/n7BAbtekXv9YniyHFD5DZdtoEjXTejPRDsUEQOJ1Ke6aCM3HNDevKl0RGHxVc0RUMnM
b/I6lvUuAjdSGYMe5G47jcF6AqMfXlk9ffwrDfQkPDYcCWDcaTlyCHDZHXDTjcrsItCP5AyNMwJg
kz7wLP0Fx/+AxQC5XMWfJ879c8PiaFczd3Zhgh/co+QaZWYr6imIS9+Sl8g45CydOhBHfwRW9CUj
oj2YFsMD0BOde0q/wuBLjylvMwC53q9xkwZskCA7L6LqvCythlshD3IdORwxom7WSl16gQalGy1V
KCLoQiM0eCQMkfY1EyL42TAdIQEHx0njZittBI7AeSeSZB12Nz5WSiCGyWB87NERz/mAk6uAbNOf
xegh6jpsT3E/kPIG2iwzvBtERMbczyxgpEqAvqrUuhxgRIRf6PjL21AfudFcNLqxI+rwLzhm1FmF
LxqqxjPn2QORUGm05w0YtuDZJxe0udZtXOAw7fKmiaJnmpEz9IUc6Rlx7XW4Ew0mOMRezbBGp+1u
kxlKhHoZMFJAeqeAkaVYe4V6HljXDnlFXaqo+4KsH7/SWdQFbbS+CVxd1bdJtm8dcv/gMM0eWRZ8
WFC/Z7yYi2qcYg6zJmIVg3abgzonN4EEw71+yW6tr1Y2T0GzPrZdnX1Y7QNRFp5/xr6LSRcyVXmH
btEDGHgSkY+StI+GA2JcYRUmPTg5ulRwfaeHoR+nveYhQwRcDhVBvK8cMdOC6OAlcuz3iGEZACCE
3fOaLpds4NmBwigrhPb/EOWF10QN1bbM06MxRpVx1502HKWFRY7qIGLY5/xmbrd17z+Q4cDV2F4k
LC+AkN6Qwx+ypzHJzFO7sVMMfYa05tGo+F1Kco1D1+2ixNflknnI8/juqlkW5XpolmvS9I9kmr0i
vjUkzUTZw7AtX7al3SUrD36ZNckHjArI62gJ3g2WxEzH3ds6axi/a/IwqWD6ng3rbo76n0GQNejH
g9eJku7Aa1AUQRZ2CKcvw/MSoyLRmNlRE1kjubgpVOYyg1ghnoBfhsd6xtnQy7ZCMaZypmNWJdAe
CtA6rARLeWsZzNLNsDxVAIAuWa+BnQBFjUGV1HF9mGWNKRtY00B8iw1HpEO3fitKmO+zUyPRI8C+
hNMu58PUAr7cOsCOMjRvIXX4hLD5YRjUQWUZshian2rbql1Qp2UULPWeLf4CBwMRBqWjDv6d95mh
gqLTjO+Yy68r5+S00IC9YNBCCoYujTDO7B5JSFM0L17UxzhfG1GuTfMjonyFzfjSYLl4aIn4g3kA
BQ3RkqfcAuVpswGpdACXmIGBdX/rvWJGq1fARyG7te9ODVO8SIRhl9Q9Io2LNCjiYXnc+ts+Ve+E
iaziaUeOsOBD0ExbgnxtoE8p5jZA1o6SE9cOZRpfgp0eOx+GU7TDGS0ASuJEneHl1eQxEBbW1RxV
DfOWs8fTnLagm/qnRtv2KG/LrHFRVGjMRdiP6/TK+yQFBH4NYeEfwHljIISIdv/oa556YRkq6llm
DkF8tAsz6dluE/UXJ2dZNQFGMSBUrB5D84TdqLsQlXy9SzB9YqKCtoF/4N+QzPLh4QIIGguN022L
LEzE1StVw5c9mX93M+0hp5roSazrLzrE56yvTaWYB1K/N7RILH2lSpBiGimwiQmDROIxe14z3x25
nNGzhhZBbi7/4GM/h1P3jkkRQakgmRYhndFJSoriaIWKYm4IR1t737XPWJk23AN2q4dyCC2OnVbE
j8HinToXYRzJ3O0lIO4y3sS2I209HYJkhPyXoLIOQ9m/BH7/nq7dS2ab6Ng0na2iFQVI7K3DzsvG
aDcO9MGqZDlLmAjeQzTW7kRl+HsBYnHxB1pan+kSo4dU1XkzDrcsRoZ7IDZvOHa4DpVKuXWJRZ/s
8wJZHRQYKxhHJem15RhYwnj9aIS3S5ORfhp5DbY2vYQDdKSBIX1C2faLY0RGMXgIn+t5m45L19Wo
ucffdxi+RipPyFh9yaFVsbylab338CGrFif8Y2xcSYN3aq35s4Vj4dAxAY6L1sPq/0DB1T3q7RZm
n21/DdPxaY07iI1jH+4YxgfuOM7mAmpzMZhlvo4mvdDGFy/QbYPC7+KkRDX1rtnU7WE3gx7oaHoB
cPQtknI+Tw0yEksSddXc10HOVK8rNykQD6mF9THHl7hG9NIbwCSx8VyviwdnO4O3nzXtm4MlAVQX
fIgY/YJNMS1BFS8YQ+Bftl5G1xpYtEVSJXIYp9PKI2KrzQ6yEi3u0iMmI2050U8Bt1DpieO7SLOv
E5rhC4vJx1rDf0nBfJ4bLh9Vd4MXM1IGIdxTYfzmZLIXmbDkfL/oSYRjTg0vfVKHIDej3y16VIDD
oOdyQ8SnYw+okseL4LH9wjvMU6rbSmAYy2MoePYmo+y1x4lwblRWxSq7ndUcYpztIXHxFiHYwKjH
QKb7rPZ6rPGVl0J2JQjZJFn/Z8pWr0rkho1MyWvIB+8Mk0Uf3TajIBlbfaJg/n1OLlO/9O+dZfx5
/hGoaS+6kb9jd/YvwrVdjpkqEQnYqweyvhp8B8vGj9w182ekXrnaW9WngDjmbX/XFvz5BS0KOXhG
dvutA2HYwv/w0rk7eL9sS9rztGK15yF5FRq3goWWTvsYSDLwIxk7ZFXJPJ0QgPveTUta+cOMMyqd
WG5SqLydxYQCFLVJJOwBGQdoWG0QYp7FVECw6Q6ODSOWIL8+gBABLuQGaEtDmhZrLESJZiQuST29
eiq0e+O3O92GCWY7uH2oweqNqf8wCP5dbzeCZpXqRfAE6poZgZ0u7CxHmh6ZgFDod6M+T6Tdjzbw
HlsxfuArkFW0oQR3of8Utvj4GOyCWl4Mw266ZXYXkURliIp4D0Z3PqVQWFo7AtmLg4vryQ9i1ngv
UrntknEWO9l96Gawh7bG7AYt4hXCanetBW+Lpl/1pU8xBKa2y/Aw8x/ZiJmmaTB8MqymeQh8BYmf
5iq5NpUIQrajPgLOIu5GzJNAiIMYP/xKV4jDXH/hY1+fekXeQqnlg2qwbiWRX++n2S9bm23Ps13F
U23/CJjy1dqiu4Dk457itmaPliMknoivMyLtmEWzTUDzPGA03baCkRX6uggZVCtF/xAg0mxWekXo
iF7jjP8cmqk/YuIJeYTZ/5r1sD4g180PFglsr8ZgjXl+xZ6T5W4akrMKqlq1fU6Q0jys2Qt0b/5K
yJ/e6XEPz3AtolurYyS/WCgj197rQeI0HY421rWXmIePLBrHx8xPhodevf9zI8DUpR5IdkE6AHtx
JJIzCQGsEmGiqosifMlozt66wOAg8Zv1Emqq83VxMjfzlhzugYvAoIIKFDpKWEXjPvWAN7I4vUwr
LKugIeMF42W+LAZKnud7TyMMK9UucdXbiRSJ9GcoUcHh3iniI4D6ZeSQKI3fl2G9T6kGYBsn+6Db
liLxMCqs7SDeWWafaIOOs6mf59a3j3gHqNBTt+sN4ty8Hi1mnwBwwo9VoKbxS9ChyTXeps9twEgb
uwDhmBo/3kUz/9bc1pMkqUUxaYLhBCsDn+7sARwjKVFGJofVTRWa6udehOYK34DsJ2Nb2BywHaXC
tm8yMHuRzGFioWIVKIuBxDAMbsLmALErzQnyF7nQHGWpGs8eiSE+YR+efAUmKxEVq9V5oktWKQls
bl2RN8NnApOo1326QJBrrP+xjmjLJvMTAiY/uMi1u9oMaeHLOcmjDjh/GOjwIo1/lt7GHtEnS7QC
HcXcEAovQsgRYdEGgqum/hsE/RVKNzTWA02Me4tYxJ4bLFkNhnisXuJejaJ4hNel4Mr8YpW38qzz
q3oLLhAXEDRiBBbJ6NKynhdwOYjQOL8N3pIQnxQI7xAFiNeEkHlNKn/HIY+OBHXxg8BIMwhxJSdd
/D1ERjHBMINkCTUWpiU9+7fFc0i85eDhdyOY2TdLF6P483k5s24+BGMC/W44r6D5kKJtKRjpW3yy
g0QIE+s0NhN7WqFnFLGF1Ks00ycJ3AKeZvwgU92VGxquyxwHXzCswDax/sCP9d6Z1MCvmE1OwwV0
AcYn5L7XRrs2Ct7XcPwRBZN5qNN9MGQK/TMaIFlnqD/i4WVrEUi2817QRX4LElKZoXsdAiMqssT6
aRuHYzSxYqRtX9ydOd7jVJe+SQ/ad/j1gq7BhhP4D0HEzol7WyIA6G7sMyyQvXvENEAAWrH5hiEf
+JBZXQZjeCDolDC87QcBjrvH3IsSpsSEbXNJSjiYTYHJee1Zjx5WDp/XH0OrMWsN6RHha9jE02aq
bu6ghjQgmPstakqMHZN7MUCC1ea8uNU8vTWAlc40ajED5wOl01QCZmbYkGevWuLtkNYhrBISh8dA
DO9Ape05i6w5OzhFVtHwhClU03UGsLLP0u1HEjbi7AXhcL5fG6kUZ8P9j2aa5a4Ox+3URLi4X7Mb
hvtZ4qAlYcBEQiBsxwjaagpOYPZrVwQBsLG0a0BOL+OLQXwITjJ+ZrG2wBJZ5uVjIpBX4Jv/5uZm
LqYEMfa5SaPcitZeZ9j393iZgL36urGfALEep6iOvyn0K23mf5M2WV7CvpPnxEwIvxuZy5gk55Df
QgUdxEA1bldMXjTPIfsOLJG+6ojvI5etAMwWrxjOo1RL6Y9BUHD9Z+yGry0q/z3sB6i6oNexKW/J
DrUtJv0x1F9Dd+oa+zXyBixzbWpLTPhEEzmwzzsfYRsHedp003WLMLoQpDTociMgZKap3Kft+tZm
LLiQFislZKjPBW+EgdXLQVP88TWdckpxGs9efONV9HmNoo/Bty/A87KyYeNP1m3D3q9J6QLqn+hG
r1GdjqXSSO9m0VKyzqExTNfzDLvonNXDRS4NL41EjDcaUXWHekFcIxtP8IzfG+TeTyiT4lLD5YZ6
it1BY0zinZNd5+Chky7cdTdwWZBUwg7ElKF+GVQhkaOrwHenOzVAPelMSAonMD8jkW9Ln04V5pRh
QfVqBM/hThVMOF3wZWhyZSGYz5kPWdHoGrF0zio1LCusvZE+d13cg0+lR3YFA1m/h2qCGY/Vvshi
ECldgkkZVrhPoOHTwaOnhpD4CikLZX9Aqk55wXvaJ7+H/8PemS23jXTZ+lXOC8CRSCAx3JyI5iRS
EiVRo+UbhC3LmOcZT98f5FKVpJLtcP/nXHSEuyPqv7BpiBQzc+fea32rRBfFuXmUMnlJ27pE9e6E
uC7p6U5KcQ6M+RZhVb/tkSBkAY3nstsavRBbLf2C0SU/6vLwPKAhu8BZUm/rGliU1R/FbWQ/9Ns6
r9b91LeXuazOnaCvVpXSklXf0v8ELGEtwrgzVkHs6lTaEppK1+wjIKdIvj6mtNQW2InAb+lFsZCF
3Wx6j1uejWhidGFxbt2kwfdi2cNm8N0BRV+a7IesfRginb6kF++M0b4pdUYkpR1ri8GMcIs3ab9u
CkVDlXEllbRcWdCE9lxQDpWnV8eQ8u59Q5zJvE4vGiU3Rtj7wAP1i7ENJhq1ibdiIxyPAx9DvcgE
8zDmT9z/Zs0joBfQRbtqqi+f/ASNqV8j8Mx3TUNdZJrRVVTl3XbKrNvGBDzYFPaIS0X7qnpOijSI
y7U2ui52mx6bHlOnpZXoxmnWNJ/9qmxOwg4a6YRq58kE9hc2+OK7i/I79vbhPwBR7Z+R/m9JVC9B
VP/3fx+uysFA+WMqymmYPeTJOxTj+WV/U1HsD7BH8FoaNpAV231BRdGdGVauMDzaynIM9YJiDMZc
0c+AyybFDCzBefeKYiyEa1uz5f+3uCiKh782+MFJNlweAWRZl64FBOalYxmJBn6jIBwu8spr1dck
7rrsHoyhpa8rylg0BOgio64Zp49i5HaQUSCurFb7VmDR14uUE8xp17EmrxwuRjtrwvSDoGfvF+G4
hCFgrlxZYYzKtF0TF3f0Lqy1cgJsto52YWlFe2qO6JfcxghPfWOcLZpDtQryztug4bvH33ce8/Gt
9CqJl7FbPvSuka7C3j2LjHrnxgkI28FgLGBDtGKepuiUJs6xiQVtlwzBY5NN9aJt8S5JD9myyaq1
hBGv6rIRuylyg3NcPtOq6NEhJ7GD4HfEbR1sAXqCnXIg/1VRhzcnNwduZIm5CHy1gvuLw5NCc41B
sVwzygTrFHXGMklFtqJJfDzI/EYinQL4gD5aavMP1/pXzM3SZaeibpkU5bCsBePHGNe0wA4nsiMM
ifnC0ahz+6YBttW1+U6wi8Nl5bzRG1Nus6ivt3amvjQjcKpCo0mfREV8UQYgonK9TJaw7NIjptDR
Fun4l1ovuk0j6C4EoKcxQTKg8LN6OHdG7iDgq9VJ1xq8ysT4R8PzzPfC/BgCgoDVWt4UWZ6vLLBM
B93GY+8WHPnKxY6VW0jvimy8t/qiXDNp0pcoqMN1VzrXkaaOtZoDxAum7LqJGI3pcb1xHTkt0Aai
xaKJuR3SPETVPUms4dl45Ppj1y660gQoGuDAbSzFnS2JRkx1tHxSpqcbrkUoFxm93tATQkIskiI9
ttJ47E+iQXZLjgtTv7caDCynynYibWFz5872jaj8fh/ZiH86FTu8sqsYXKxRVvUulwo7lcZ3O/P/
623zf9+GOEPvfrwhvo5UeQHv41XP+yHwPstht7MA7Fg2v4dXFD8AQsSn6Gxs7G/4/J9RUc4HfuEG
3xE5MzhcBUPpeT90PkhXURRAYWcTY0/8nS1RitnT/Bom4EpHmPCYbMGfPgE4XkAcsrZQU5VUxYEW
zU3uRs0ur7obGSL2Eho0Niu0dOiyM/Az031Atdq9M5Q0TkzzOIXcK0r6lFpiHgvnCUFnfepmzK+T
oHoBSH0uZgQwDZ98K0ewwMxpZvN4f6hnYrCP646/1W0lBQOO9GSFUd1YQAKgLGlhDvuy8DfSH31s
LxCJkYnfxJp5ms6sYsuCSOfN/GJLcy7GIL10pG4t0LPtrd7ZjJ4pN0AN2pO0tcrbLAa43nZqgXX7
a8CD1/5MTDZdxdRupihHGqbseiYrRxqMZdQ8+UKlCVPIKFjZldhEM5FZVGN9pJcanlVozTDrrpKG
hn5mtT4b8niSt7Cd1Ux5jmbeszOpQ9LbX1u8bIsm8WPUG9ChYUUde052303dUZR7/iaP8msgQFCl
wUsHM2fa8tEbNCLejKl37NmwqI0JKrU186njYuJNm5qLEafBxOtNMPLK2qfnC+C6p+rdFK1dY7Tk
hoC67S6TeYrqMryXnd2s3TbgM57oC5Rt5XDlj/NV4wYxQgdrXAPfmRaxK7OlPlqnbkILyAdMsuoQ
AG9a26+OkmoAOuD0x5bDe3GdDIae2TnLgN80REEKcEZpFMRTRDPEVPBhi/iojQxjlZdy7wbIzs8Z
LDPBjYLiUIqmMAtGG009b7IGLc2SiXTqWCeB7rTtAx4GzLk9dIRv4DiScjViJVj0Qeud+zrbul0E
03Hc+fIidnt11zpVdxRwQ8ZCZjZXWeuZ+5IeI26+uS8N5SBYTBb9LxfX8gUq4kdOFId+T3WDRh7B
WtwP3FdMkMi0+bNlqwomn9V8U7PGCd1pMJz1jYITOWBLmvTxm8f1geF2AX/YZNSJhspBypu3xyJq
+0Xu1p9A7CJlm5Ira1Q5tsM8Q+QEC4OOLNaJWu6DER1LkATxDgR6flk3QPwXcCY7bi9o4jvHo4Nt
F7nI10ZqOJfclCYagw3hBJ8dO5r8naWw9mI1rfKKkxK4YZAMRnOS150yz3V6ZvAP/7/Uyv/7Nn2L
PfLHm/5/ff2c1i9pglQHc/4HL3re8/W5nHXA27DhS/dVkgchHwaXc92w2MGtOZPj7z1/jusAaWpj
vXSFI8WLPd8CJ6gM07ZNaC/SZpP+DTyg/ZaKwtP5GVzL5WyhqrbnKvnFll8HJQ3lMRkvlKcPAV32
MI6Co6rzbPOA+eiOPh+KlxBtg+/3aqXMYToqIj2gY16dZggifBDbC7vUDjb28WUpRLdUnRYh8k5I
vqjlDROCvepttAUKEqzo0JhYzvwNznv/giWOdsRnFummSl8OA7YIw4Q1YI7m12CoLpquZQxUP9QN
KRBsozd2ZUErT+fNrDEpyRgwYbApLu2xuLJS8Yg0+wwc4Mao9SUulWZZmQaWqxJ+qTU05WqossOk
DHcps5ChdTnbZi2PS3Cba0AqCg6ZbOuUtD7XE4C8bBmio40PkmHEvDN9L6IKaBDqzJ2cvDnV+2Sf
u0quoqIy5MesNvzmY9c4syQo6vN6izsAq2brt942aTNrvM3/2tecsI9Wf9bhvKSQkf1sHb4JRPu7
+np62fNKnKsvRfoNhRT/EeaL26g0PhhSmsA4Z0wyULZ/VuJ3UCd+HeiOpqmMFwxlCjOpLFewdqXg
Iuv8zkrUjbfEGco+g+uCBcPQYlHKNxdSs9JyC9QwWDi6q+uyyCJz2U9F/k08HXqJPw7tQ1Thcd3Q
IfM+//U16r4flq6NyeYIAZNI4kUzH6a0oNMNF7ZiPAf0c47sDleUAwujriPoxIa8D3DvLUMjYG1m
+kdz8PIjuw21PTzinT9EV9w/M7w41EKaDk/QN8pPWSPvkh6ntzR4jjdaCP3t4SMy+NsqGrNZvNev
8D/cegILROJduSPMc+k11mnt1dWGAbZ+bJUxeidLPThWd2LlwQFBFz5UkV6UBcphqWo0VpOdANdv
iFHQ0rOx1tq14+Mdt7irTyYFQ0ZgxK53G/DojfqkYSdb+QnkCGngnmTkdciE3y+nIsGV3vTBsm3Q
FhqxiBgkiVu7HK9aJM+LovDtPX0m79zQk0+IyVZFVF9VmZ2BRgmvlNd9Y/y8Q536lQEUFvNy3A96
OUCK6MU6AIe46FugYlhryBqJeyYddnLtBskjm8N9n5ghKBp1q+UChDPipBy2FXqY8aJVLftNI6co
vIuapmkvRjOwsFzp5LGQVNLWcbM108AwPmJYKXgyat6yXOqylyQNuGbezV7SeJIFCEYjjuhbM4ki
nMAUURPhLbaSASx1rW1UEoovlSayw5jU8jYYlWBM0yHCEXVlH1eDRUvNQFAbtCNWlNa8tTyd8CJG
ILAwalLEmM/Ujafuorm0suYiS6NUW3Rz4fVnB3sqCmb6+o8riavP2f85bj+/01CbX/f3FiY/2MKU
wjEgvknDpGL4GwNvfAAXPPfGkHDC4HtRTDgfHOPpmLfV99bZqwskkEgA8M5MkRPsbr9RTKh5h3p9
f+QJYI11peCQQNB6XUwUce6YrpUah8oRFb2jEhxE/82ZbOJJAvwxK03C1rRNjCsBs4eNKNuSlJfA
XsziLC9BVlg/1dnlXHKPQgxLzy/5e0l7kyUYE/HiPHpzqS7moj1/qt9RDtqLyrKAX5Zlt7KHXO0r
ZrJ4BrhsLPTaY8qoRrEM5y+3PX/N8QRMS33+6jMMzjfh9/UwLw0d8QoMQK0wH5un9ROz8joEpflA
2hMfP7IFgJ6MTfreFIAt4tzNVv0UN3JhsKuRw1RZADcct+6+GkkZMVr6sz6+F80/7Tf/F2rj8J3V
Yb1sN88QbuU6sGBtUz4xtZ9XB1W4aT+d+hZ0yn9Od+sD2GmXTvQcY8eiYdU891bUh6c0W5uTDWvL
/K/9xtKYa/lXSwPUEZQ/7gAc75ZOd/v10kjTDuIYUmIGJsW30jL7rV5gS6gEATVcA75Kt8RAImkx
G7n7SJ8UYEluhnz1Xbkq0trCRg/gJKuqR/ra8dJqwCphmwyJ4WF6hKyyWrEzWBcis8MjGSTVEYDj
K0+inBFVfTukc2AHkFSY/CHaJdRA90WrfwZnej8N/nDWNPq1N2r52oq4ebbGMIGE8YK7qExOJ4RX
6zRMLgdEykjFBYFtJc4QurTmiWljAU7jcD4H9csInvHK5EJ6CoufusH3r7QhBGyb9tnCGU1UUGwc
+6CkX1153f1YFHR9mPAtqEPoP5RVtGrbKt7JPvcu0shqrvnl+QdXRmrr2kl6SZt+2qZeGW1Kf3Dh
lKEg1GMz3Hm51q2bpiPTD3GKqY5lW90B/mkXLipaPqhpCgiE0sTOspKAkIHEkNXO6xysYhnCRX8p
CtyrBGdlNrJnKpFl3kRz5VB0+hWMJedh6IfxSIgwniUBbayPfw6/7zdihwvsjw8/Uswe4rD53Pz7
Kj2/8Pn0m0MxAewDa7Rsm4sva+x5fUv9A+o5ywQMDKGY4+zlEn9awK6iocks6mUBrz5Ygnu3o3Ns
AeCU/+ESZ6dwWNrMkrhicHN/vcQjMav2yEy84GAIT103KRZpDCc8t4leJMYjI3NiaECXYR9Ddp8T
MuWK8oKvn31hDr7x0PGTEqpDPOMwWD5+wjrfhapANkzOZfspqZhYoSSpId5lLblpy3CMtLtehkm3
qDsK8kWUN5/RxCW3jt8xJmUmisnHBTfIPxIf/LCgsRdMMrho8KAKMg8DgIhlw4cKuDYO97Iygm6F
xFZ79LuSv2zDd9jJaXK8XRDOjSsd8fJh9OC2cnsN80NLkEBAqIdmIBFGnQeVoMResucs7NAKFVF7
jHciSU8Rg6IFYHFZ8Xjax/RxUQsjRzzNkWc5X/Ax6HT64pkvGolNgBpWu0zi6kR6DCrglkzyjD28
rzcjsFD4f8ABw849M6YK538qzwYdgb5whgvMh/pa54bE5X5usLHXrsuuKRewk72zvmuDHtJseF35
Uzf/hprgJHZS/1HH7vpJr1vyRnArUnmH48cqoMcWimZYa2VnE0KjV/vBA3FV2n54Arwi/M7z/TM8
mQcaP94AFgRr5O+d7rzq79XPxJjpiKLpJQQ51mwMz6t/3hg4W3WLbtZfE5Ln4QndMnpkHPC6A9VR
t7nZ/3PAz5MY/GnAGwhU/r3VT2jS2xMeUCzbj8Mxbyihzz3Al520zDRaIrNaatMqxTWfFF18HVtu
pbZmn0bNphxt9SmTTfIx9/tCLYyJq6t0+/hr5za4fuirQxMV2YSdlKlDEq2qpmweDOV3H7U2dfgi
Qt10zDl+SKoUz5UNmL0iDTHBiePkCglm6HF9TnWlz8TrLt3HhmEuuiwp1qrMwmVeuwEq/GgiiTOj
s513zIPDhtmDMfoQDSfIuwRSggsUdkQAWZ1NwReYsMXlqGz9aoxhpdDp8q4qZwRzCP6mO/dFEq0Z
TxuoqrpsGzs5/wGn8LnXI2CZo+dfhG5EHINRJUeZgYE3kG1720Oo3VmxSo/qLlHrjr7DMqE1h/0Q
aF2hYsYfxuhiAM6rABxkXunEj/X1rcS9jKMhr09zw/TKhZ6m0SYYsn6jtbq9zsH1Vmh0WgOTeI21
wInXac8sdYpZy5H0gtvBTQHfiLLcGXGib3LpaoD/KJhyP4jomkPlT9kOufMu+tHKbmOV6DcAVsnD
m1L/3Cq9cj9AG4d7Ql7eIuyM8IpOX9khnKl4f2j3m+VQdyAp0UR8CyrG5ip01HmSQ3S9zRzjsYuU
uYokRJs9Oiool7C4Xfvw56bw/abA6f7jvWSZfE6Sz+m/S4mZu/28mUj5waHpPc9Vn1vvz5uJJK+H
AS13aUsIRTHxTynhfDBJq3F4hUsijilfbCYoXSxLcZWQyFy4gVi/c1uYK4VX92ha8vDucPeBaKRA
edOU99G36ozSgsssv+7yT61KV010++JDufj+r73K8H73GbQbHZ2nmPM96uV2ZcObLeqCZ7j9iapR
YJEtaaxSBAc/fw6GuVdP4gN0TfQ9NoIx/qtTnr1+EppM3KtJpB/gLo4RAYepAVAYWVi5quy8g6yV
G0g7sQOhgzWkD+DIaDbF2BdEctgK5URpZKSlGslZ3CJT96dJrswBAooddPZjpRs0AEhPdYYbxhmG
tW3GIiYCpPeB8F3piaeLyzRq9fCCoEWjW0X2hEFn4fJwsfWR7JMXyfTS1zc2yHsMR0ZMdh5KagEI
zGXTXcApucT7dBrjHWiE3BRIU1YarHL0nrdQ71HPRse2RNUWjajz41Cw4pu7am6RtUp9gXl0GZtp
sfJqF0YMQkhrpgEkQ7rOWvLUWkhJi7mbscPxfkrhxFbbTStyDL5NqXcZoU3fuF1z65JE4LfJQz9U
ezbaLW3DlQ6Ywp2MTcsIMQzsh6gzt5hivsBSPiYhLF0pLDoniYvNvsY5t7AzchOk5DCIkfIOpGSO
6RF3u1U5oPtmuzzO6Pgu0nknQ/NrHc8wnT0KJigKWh0C9orX7uhc5fF4lWP1grdiE/Ta+QtfZce2
2QZbMbbdehrrrwJGLYJsRNKmc2FH0G2CEr4K4lpjyWj2q9/bPWkKvHkZYLyNBxdWrNE4YOUxSWLL
/ZaSmJPWSbTgXtgQQpkM9DgjarzsVs/GaJk2NR+4sGjORNkNjNVDJ8Hcpb4gaDRL77qw31q+tdUl
kXjVdEtz6N7Q5VmLqHJyx4fG0vpF5XQ0xe2+WAQV1GA3jBpqOwJerQGQcAO/HqgsKoFLWUfXyNzP
u7I7GgrxDXUq1eKI+5a4ONxuE3yOYhdriKKM1E6PlUjDm6rKUwN+Y12ptd3QNttWdapMLKTFadiJ
nIhquwtjLAXDiFg7GIPzfApaGM5+KvzVz1fj653l+1q0BMUO6hMGjupNkRLXvunEZu0e6iJcFM6h
cs+a4Nt/9ow36x0mk++BwnUPOmgXba+H4N2zjz9/xmvx3l/vwwAWStlmoIKbO5EvxpZRaStXdcI9
GIW2cqdT5jqb0OtWZY5/Tf5iC+OceLEd//thbPuvHjbFQoFTcg+xqZZKlceYED6JyT8dy2TdUY4F
RnL8n72/eU998f6M2h+MtOb9ldPOiM5rlkg8nhEV2ed/je5Rn74f3vnuu+O0Ue48zHLe1q2+7WjK
7V33kIsSmYS9alLjKM4bBBXGMZMoIpXF0c/fnT5/zf454P76RF88881XpNKqWNMtzT04DdHrVJoA
IAOCSDCdeMFlo/aJuoxj4A2MGBrKwR6gyPS9kfrD981V4t8/A04O7g2oUwk9e/0RZwnEwjoOvQNT
t3VqU4NVlw5s9joO/ieL7sWT3vwyO6uPPX2MvINdHJK6og0HT757/Pln+u7KfvGQNysb1ZabUmzP
b4eMs2DRe5+t8ev/5BmWwZyA7Fhj7rK8/FbiQK34OFPv4FRkhyXTwjTg/Iy/WNvvfTkYzzJRneUN
unrzlCk0dBQ2rXewCBm3QxumUnPx8zfyq0fMd7kXy6tvU/TnoEcOtqWfAcdfYo6+/vkj3tuhXrwL
680sJJmEb6WJ9A64iRYyBXQnv5rVdZLemk72P/gqv3zWm91QiZCmqtfMz+KkbB60+qLMz2V68/O3
9N5XjHs2s27UJw7/9/pTa2qibaNcIfUYyW4hRmflQVT3W6whP3/QO0uTipRgN5t6n6bXmwUDRj3D
Auj7l77ylka5B4l3VsoLggZ/sbO/845ePWj+nrz4HoxhQWOImIRDizkyK88zMa64OP/iKe982149
Zf4pXjwlpjAqsaNrh7A11lpnz7yXzc8/sXffCFWpgGTjcia++ULX5kjOjs8jeufO6D7qoHsa5xeL
5t3fisOskBGKMTdiXr+NeWxHEkXoX2rVMViALKBJbl961i+OvnffyovHvHkrxIhhVw1i/7L0zqop
XuTizOq+/vzjeuetGC/LoDcLRouiQlTVXKIUeLS3RGRQg98yiv/FF3n+Wf91zr0ot96cMTQk6lCq
yj3ggVgn7U6HjhyWn/rykDZ3KrpDXPDzN/bOh/fqjb1ZOfo4oPV3eWApjtgIEueqz/e//QhStP7+
Grzd2Nw+auPMYHEq99xA6SCh67i/2tHeeR+vHvLmFwQyYQAvGvmX8zjJR7iBMwF+W/CL3897j1Fc
6A3JRd9Ab/f6Kx3XwENr6IeXI569xCDXmz6xX939/BN759vG3EFRrVJwI9ee//zF+s8xU6R6V/qX
Jjo3ixyd5rFmPvaXX+mHBc172wxLU9AaFQYooDe/e7hLqh3AfF76+tZr7m16Uz9/H796wPznL96H
0JCh5CYPqOqtyY09zcpf7JTvfVIWHRkxq7EcJrKvn5AA0y3ajqZEUasV0uRl684FBgpf9/D0Xv40
2h0KjR83x07CzP93Z2x+zd+dMf2DQAc6q//5L3fhf9rsNM0UXTFj1nfMwlN+/89tdvsDEj3DmF+J
2vVJffLcZrc/CMxf/4zl3d/pjNGe4yvwz5ZqOhaGsbm/ZikcCrPi4vVXRDQkVzEzjg+j3ol9BSEZ
8dNM0jAJQZIFJvZBuDdFHF4QU3E35lUPgszsNlFLrmEhbqJQnhahee0RGYRAKliZBSZURlCnU03i
kpslp0Sa9A/CIPqnDkDumVkKHwEkM+bzbp10AERVxj+Liu4g8tpYCUbzW89vjqgqSV2bY9WcpiHM
q51IAdJpMDT2QQGRKlzDXwnQZ6eiEvdYT4MFCVXhSRe12842iXpownO3wR6hS7Lyat5bpeOJUv6I
HAXkalWEuziYrkBLZjMYAsJVW5yXtgnxtXV2Lm4jbhbtCjQs9B1bbBnCr/y0dTfCDckDa8A/WLE1
t8vUdSGTC6UYv7d2poHXkGclbBrwKcGNg2h2IRt5wrgPN7QTfZYahFRUrZdxmdw1kQcWy8PyO9j+
t8ys062qwW33On73tGwuYtk+VuXwkMY46QWQ44XSq3YJtP3SwMG9pMn6CAL2vpZEeeIFA25j3wRD
uMsNLCEFAoAFqMh9qUlCTJNrVLQ4tA2DfEbTajeO3sIoMdNd4ZUHPxrPXQ9Lw+gh0eHr8C1trH5B
LA5poGOSL7sAUhMoPgwIlTj1XCLGQAFCRE/yFezphOtYd6w6te0ctU1qc1hqFVz1GCY7rXzr09xr
WHQ4vdEkeskhmGxAL2AbVX4rCeZGfHhcGsVp2/ZnZQH8Ic7zbEn1euvU6XWYMvrIm3hTxs0KCuxd
KwuPskmt8bYDwnMuymnK+YTjegEaOIZFDsMgrsGBjwpThuEWHW7X/N7Rgq0kuW1j1jGmmWSgGRFf
66Pq9h3ZNatw0JmKTmV53BIkweepg2w216VMLkcbGlplXfd9Va7KpN+GvG0SQypikUeCUwrc5nWu
YdTHvSN81Bykmk8kAOUPrYdJpm7gbjC0PjYx2C1aPcebyE9aKWfb+7rY1LAasIVE54XOy/Ik9zft
HIwQp5c00ABHTNO4rhFxAMq2jaM+zR6EnnDRVmkOkbw7mEZ3YxE4tBARzbAwiq2dk9vAn5RVXDql
4+mH0NWJVfETeaPN29PXMbbC5ISJsoj3+MzF9Fm6Im42lq9V+0Jj3CbwiKyjTEwo1I1iM8EkRtYe
Gh8JWpSLbozTr/wQ4qgLa3MjiUtat3Fi3IHlkohNgJaCIRU7D9jjVtipc1Tggd4JzxmQtpsDaGDP
xYyMen9vxnHyxRd8J4C9JudBVekf4TFMfP1ygF56YYA0HZMrICntWU5U2S4KPO8q1zVpnnd2X60D
E85Tko3ubeOwTNVcT7VDUJ3EfojeJhB3iRte+1m561RwFrvRVeWWC2dg11DO+WC521IA428tQMuT
oV/Xk76zk3ZDExrPypB00CkyazNZaD3dqlgVHS6rxnEXNpmuu0laxHrL+StXVZQ/Y3/cmfVRXTMe
B7oeL2vN5lNkIjYnIrDTQs9Df+TFS18Nn5KOSK8gIc4cgyVdh8BctE77GJLeFQuSXG0YxiJkSQRj
cq6bWKO8HGSTL8sa6z9pCWGD+KlG4yCzc81ou4UcXG0f1D19NaSxNdBGREInQ9p8qz2INCJI9nAD
bvzvyYrbNJ5uyCLTYXSoHqdYe+sNmEk1oQ9bUAtsPVNBMPgA51A4zrfRySykegnBjQQAbD0U0TOa
PluMNtmOJZzxhW35LpohrPYV9Ct/hg7U2expaidYj8MhBZSIe5irduTfR7a+LwlV1mpEwFqPT7+G
76VHwVkLzq3GaSPNsQJGQfRnqYozE0TVAv0tMAQD6nZucIu29SPlslODwsw3nZ+dgeijRR1D49H7
QzTyXSJOd5fbeNGYap4wm1pmjvM1H4qjdHDv9SosdxG6JQKDiocsyA/QQuLv1d+fismiyvxxxcQ4
sYr/XTLNL/q7ZJIfJMwFrJOUrPOc61XJREHE//PH3z3rf5dM1ge8PY5JhDtFFW0OXvVcMinqLDw+
Nh4Bh67sbxoLTEq21yUTGiyTuRswS4vZ/1tjAYb0ri692j9A0usuclQAu8lvS7Hom2BqjkSQypZU
hS6xlmxWJ7GBpvyEb55rsNbVt7hgtmP60EvMnDhkNVPjIzS7uRiJctPHcB3XAaB45d0XLgHf0gzT
ZZ5Wd9Xc6UoMTDVG/Khs80I4GtjKvPgy2fXXKWmBckjvfIJ5CC8wZOWLApPP2GUbB+w4Rb9boQLo
yo0dTDeull6Gel/P7JlqBXGTkgAh70ppsUQm5a6bxN4js29XGihNBvjhHvzmVS1bQihlrl/AjHw0
2/jEqIMzLdcwUYNt7qbsIR2hqKAewYveRM4iNvqbIWwj6gxtpSf1PcVydFwOtjxXlW2TOGITAhsU
jx0hYexmvbbyIGgARirgbaSQTJqBHVJ0BIBWfU8EnkO1mNBvXgboOpaC+hW+qjQ2Vmuu66SFA9xJ
pq/ZsR4lh5HIrVbzbkGS4xBVVbBUob8xhnideRIRRNVMmxbRwwJeY72ocVatBayfdS+bnUc9sEiJ
s1mXva+BpTGSle036TqMiR8f9dPKMziwQ0LHdKJAV3Zuh4c2bJGSeaJeWL35KSRN4RDgmFj7qoI8
7VbpdEi1XtuXKsVMP3U++upqCu6GPhwfUJu5V5AoGyRswjyrAfMDzyrE+AWeLw11bInTSZVl4VWV
uqQquA5ofcs39qVBJkgV9sGdHZSwQlpdnFpl85xM/2fbsn960aPOatMv4ed/71zz6553LmTRMB9Q
VZmmdJjNs6k9yyAAdMwudUsoiR/plTnRwveELsGmzWBa1hPW45+dC5E1m53O/kWj4/dE00+jp1d3
Paw6SDCYVrr8j2u96WhIT+9MooLSCze2rhxKYSJh+nYSzIzR3pObA7rCiaRvkvvqdiQ/Kp0hrtFO
2i5IfTC2VmvtyMwkliCQ0T0d5XxX63I8NG0QfHJSztD15AaEntQBhAbTB7qwlNRWR4SDkf9ZGnIr
47Zdp2aGNtkoD+Bwo62pxqJbYIzR782Skxq0/3ROLEVw4jtzFrgWRHuhdA298wRY2nU+6QOxpqXR
grTVtXSXCZke4akEARU0+tIKR3hWYurW5CeVty5b84bT/JF/Q79V3MnWaYEHG2OOldXbIQzCZGf3
yBhrNVTT2q+mguRWI4ny8xbMxkctgcRFLd46n8kJuxha/7H1PFn8aaF8FyvbHMU/KQjynpp0emdh
8bLnhUWrRBqIgQggmL0Ds+XgeWHhNZQ66Jm5YvhXSTDrBy2EMky1ERPyD/6zsBzF3AVd4ZNUkbbM
b7gRGJC/LQkoB3Sh8/NZdNv0pwHti1Ze65tYy5MiOYSFWQOgHn3Ap2l0CMKMW03EhQ7DrNi0hXFq
p8NGOHAJwKejEqkT8IXcCtZNi7RCi+4I0ljVqg/XBO2QETwfSm1SUHYT7UuASnmM8K5YVGMC9jTY
pPOBNiF0WMR1/JWx1Spx+pMgzg7dHMw7H4QNJ6I1qHU/H5HTfFhC6oIGOB+gHgcq93Ms7WEQR1z3
dP7+fOROLK5V6vQgZ1yO7cjNBTy06tGbD2tzPrbHOjXOYUzHxyQw3Du6TysHM2DEaa8XLG/mBQIG
GbzFprW+9BYi5BgweJyXkKuNa6/h387HwjhHVRovhs57FJQY3lxrVAMRSDXlR0AZYs71SD1XJvlc
o0BarFbWKGviG9JLj1hxok+6jz6CggWVGZiJCYh9FkiCrebyxy1T9pYBh2Vs+EeTIorDzcvbWnCr
rxvEBq7Xk5dFrg4gSYTd1FnSmzOnFUCgugg+6WSOL7GDJIQySUXAD7RXys8QpGXdL6Y+/mSnVb+O
1TfNDT/r4M/SKAZqbfSebi8xXl2U/dhXVxHAyP6o6jO1LevPPkmOI785W/lwPss8Nf2rwdVjVJOT
Vl8XViv2gQE3AbicRvs5hm7X7vqhIBqWfiGEnrrnauiOVbAhF8yyVjEB2oui8k3El8QkYm0xKgP2
V+QE61bDeYGyqH4Iw3y8yExteiCM0UULpjMbouppsk9JSVwdolMcj5Q81qGaQm/zp0vMXQNJFneE
H29xq7z1k8/1O1scL3ve4maCl6IbLP6bvTNpblvJsvBf6eg9XgCJedEbgjMlmdTkYYOQLRnzPOPX
95fysy3JflK4a9kvKqIqomSKAkhk5r33nO+wvElYF+PAH0uc+pfOEsd/hI62UEq1vzeKnb9YjFyW
RoP2iWR4/VjhQB4gxkZaiYPxW+P5D1Y4IdfsF0UPKicLxSETUcSS4sXQZcILbAe65hxlK8zSUsLl
VIkf73uMPhifi/00jjbN0THYE+LokA/NYaFw3WplxCpKPM3JTvZoil0ewodu/Bbmga18HouqPeUC
TlexgHuat6t8aLXtRLy05nGvFnVEjo8OHWQFw8XeuWGZrhpDb3fxaAD0V7p0DxeN5dLtjZ1h82un
xwNLHGNgJoSGxgBG9eWkuPMuYNdG/NwIZ8dtVQPPHFNnByozXIW+Eu4jvelOKI/zvY7NDZIZMSZl
rwOs1wERLhUSH/eu/PNbNyu9MJjjG8UY05XozWifF0Z82XAe2il93K+SwRH2rlIsGlBm6144RQrb
S9BFI3ciWZNIBxa2Hy/ULhu+pFFQnMzCNpd1qEYHxSwmDMcznPasD5ZVq0EbmWmVKagrsXdRvkWU
zus2jofz0kScWU8YxoxS066TyG3IHNfji4HwlcsixPZeYt/AYkYne2ozMit152hYhDPZYY23Uoat
piyRZ+YcG8vZVptPJIeSSJ/U1r4ttGw9ucWnCLjbKiyYCuRqn65r0sS9sEJmxzZWHxksqbelqGg6
5p14b1AqHdDbh3SRAFRUMxa3PjDI75j8+BCONImMqUNlqBO/RiGkydqZDNyqnJaIqsKF2klJpa7X
YBftgdzkiPVajTrjjDZ9s8SKygJMABwWVggZPrvuHupL6A02KZRqVY9XUWW5fKpgT0vbZ+DQJx9d
G94kuMtwH8/lx9nW8qvMwAKjipHdrTPcLWJHQadS6Y5JWN87WamSCkpKoe8GKoXmRCDgXOs71Wjt
faYDccuZdm6NSDXPKsOploGRwP1u4NkYkaUe+qwNLkBXJEtbyawFIQgG5S5d3yiZi0VvJ7eJod5U
erWfg0i7qPxIPUPt56zwRJG0nTe7fBwNr3Bg/SKW5IPsKmWh9KCLFQitQJsBtJZREa2n0bHuCeCJ
D7T86wvbn2wMDrWD/6dsyVFSH3qCFvvQIYqlc780capxUS2IIhtW026u2oDIOIVMxCwc9lk/E40n
inBlReQZeUJtuMo4JlauKuetZqugp6PkKy0CAchY2OiKRnVVR7EDBA6slAGZfxsqiOs6ytZFZgl9
QcAKosLMRbOh0cZWE0E+b92hDE6zlTljadbQAs5lRGcujCeUohZhONY4XlUW3QvTN/n6tLH20VVA
/8EFauG/gjwmV9taxFi6wOf19moW7nibRBm9eRIqF6oV2u85lRXb2aG6UQL4BkamHEhynK703r+u
GwuGKhOauzYjziqPlIjg0qJZhmllEMNAlBuNeAr1IharocjoAMQDlNakPfoOHCl0hcGS1O14Myf+
8I70bGjFAxLzIlNlbyB0L8IoLLjPoftvC/HvioEd7p+30/VDXU+/2Ux50ZPNFPfgMxzm982UfdZh
CQHNQ23AQOHJ1FWySVRdSn6gmcih6NPd1KE8t4C5CfZA6ow/qRdQQ7zcTSXfBKWEBVuAZ9mUu+2T
eiEFulOQBSqOphJ3ngWFkWTHZkuojA6tPC33moQ1Tm18b7rz5GlpiePG9emKkbOIM0ZHCv+xmCxn
ww4Lr6KAtBzWxAeWkL6ONOJ7WIvwuJW5S5cTRn50Epl7BdCRU60QIODiNgsXvVrfJEP/iZ18p2Z0
Fx0XfUg62UfhNMFKgE6D9kjQzTSW4ZKO2seMUIRtk0/l2ejn5dqRqUDCaj8zUJrIpSV1dehER9on
Jc/UtsHKggfmuW5BvqnWAINXGU1Upn0d9YzoskHbDFjQILJBDGogVU9eAZTLGwynuMnSTnhqGCgL
3FnhRSGjXIqep6irOrFixaKPKgzfy9xw3EzMifdNQY5PHbQEduBoWptdE6ynMGyJ4lFJ6xSVsVBV
MnAwYt01CSkhUT1TNpjNjKnKV84JFAoXOn04wsGMlHCdVt7k8sy2c6DIdqMudL1NF71pmZ5W17cJ
kCYJNe8PeJdyEEyquQgiR6B9yzfYwLdDNX8xFbNf1so4YkkrPZ2ZY53qJKXn+CTmEpFMYEEjyenA
nml1i7eyucTc+3lqAY+FymWoqspZ7Kg9FyYehGJ/pWeTe3bl7uOAPEq7Yu5qGozW+NsrK7yfzfm2
cbIrFZgxLg0iTkE9zcQLL9M2Pk5pe2M3Yj0QvhfX4YXQoh0nO0B9cfS1q+eU8JDPOpEY7GAKlYBr
boI4G0k49vmRMZ6CUAEKbgjSNc3wC8DSiPMNsFKoUwpirFZZ5RaCfZ9akqEoEJfZogglLwRU6Zwy
Lw/gRrvl0K2BtBc4RZIbxe5uqigrlmE/nbDM2nR3S3I3UlDUVQOi3wlr4jvoSPGtHL0ALOxBzGUF
5KpaV4b6geTBBs8D0QJlkoNlJv9OsYlSzrXqfOiDM/A+991k7Msqf2eQz8u5zz0QVqxSOhP3lhf+
VytVj0pDf77j82DwxycV1T2pZ2E0HdIANuDnZlKVm9LPSR3I6Llqq7DV3dsyjLMLQyUKEU15bvcz
2ddKYx21GkY4reH3+pC+t2PQtCJzcC87dXtMJZe04y9fO4+w0vSRWyoJppHZNB5Mn2jfj1lzDQ8H
sU5eN1B7nAtXUlB9yUONAKN2AFLDJIpXqmSmRhj1V4QWf8wlTzUd/GbdFcJfUhtOnim5q4UksDZj
dWNGg+oZlZXvJ3W6mCSvtZPk1rIZTID6mGwKRgjvOvLqV4FkvXIo0ggx7+HUp/QedImEnSQclvvL
yyQwFtNPciwUILL/VozfKkb2nVe2uPouT9LfATpsXvd0lwNqbxlypsXG9LNixMGL3Ihu1N+7FXXm
94pR8u6YqwGSxvoLZOtJU8z6S3MFBaOhC/Rukuj1ByUja8zLTU6WpmyaUtyK+U5/IS0y1EDHEKcO
R9cyXPAQ9ezZzaisJ2PIl9Rg/dHsdSZKjj/v4y7S7mdrqO4jO2t2JCgFG59gv3UblPMqsiNj1VsE
EYQDbtvO1TBolbW+dCWXcRrMe9G7pL3a9VmmK9om8Mlk84VeviM8etNNBF/Sg5l2wuoe0HMoy2C2
PoVzWR59P66oLuvPZjaUHqcFf1+X+QWEQXDwIKFWpeI4pH7ACmk0x6C1ZWA78uF3UMDdVIGqkQBS
G8rloGX6pznu8utGNYZ7El7iPaF/MIjJG1/CET7avdSe2FBIFmpTJbf4ZAFaiqC7MRDCLM0+YNF9
3EfpJkq8Pfh5teIIm1PdHLuueyANEF5/WWonMUPPtOtZ8cx0vgkmY4kFn8MumZdJpex1QyGcpnG8
TrAt23PhriunJ2G4sem9G19ClwYgI1QGgf07dpGrwYp3cZK9x1BIClexT4f8OnerM6EA6zGzYzcF
S92cV62fUqYj7tD5r3411eCO1RCggJEVgGnzatpEvak7K3gi5HcrpE0UO0FtCqoANqHEj5axq0+3
TUEJgtPMtKqVUxT6IuqadSRtxvmj49jvMB8H0oasSkMy5XFxow1ad69Jv7LT4VxWpYe5erQz47fG
2lxIl3MgpOHZrNJTbFYRweW4oasYT14vHdLuFHa3bjwfpOyO5JR0WMJ8wEwgfdW9dFjH0mvtFGG+
dVuD5ANFJtIwpSBWCHd29WjUdqRne5Tu7VH6uGfp6EZnHbMlcl0X/66A31ZA1qt/XgE3d/XX6CG9
/805n9f9WAFllwvxNNZizuesZk+WQGkhxo+PwxiR8OOPniyBqqACkOgKfqo+OedLSpEtkSi6LUyE
kX+krnRlU+zlwA2KCmRaIIQ2u+/zYz7oY5yHSpwd8yhexm1LbHkz14PgyCr5OAxql2054dPNFCUn
7dNQ4Oikc67tUgnXcR45O4NE7uiwdxRfUnjGPgbRIfTpwVTYm/u2phlcjfNBGVwDxrwCJqH2lbMu
iaw1oa3jtVKn5REZUrzqZFKVz6K9T0UBgjQW5aoj+JDTnRp6VmE2V85ET9yvin7Jbt57tl7azJ/H
d4Exk2TBkAWxjz0torkif0/FvNrbU3TwraY7qhmp8M1QcpI3EPvMtDqXPiXYRu8KmdfuV7tQrbtN
TqXC0YEgQM6Ber8eND9cuBjYPDekM1VnSkSElJ6tLJIIt1MhtHWbld3BJr9oWTv+uDCq2l6VPuIC
oi05AJWWuuuKUaa7G+FtEIpwY82Zed6g37kwmpoDfdMhe+47v3BXqloB4mvkzDJ2h+nEAlgQAFDE
H+cJAMSU6ywUqPBWNNaVHUsiQ1CfYPcOT3WnBNtYOGGyzeTMVHscnxL9yyjVTIlT/mbe+H8/bQc6
8trD//GOBs3dL4/+46t+PPqP9CLLMThkCIkv+vnoQy/CT0cvnX713wP174++VE+jAUIqRDcbvgwT
+u8jQQREjO7oADzW95ym/uDwI+Qx6vmjr3HEMtArMhxg1i5h908r/CSAncOMyThOGS55PPeS4uMm
rYy1CsTkeqaWESWqufpytIykOi9KZybEUH+YA9tNzgI3xIbvPIIu3NpYdk6VfImr0jq5nKq80ar7
5aAYyGtGp903DVZ2PS7sLX7q5qxqCcZYEl/kL6GwEjGEdlJXZKnZ5flOSwL3XjWD6FhHY6sua/SE
lE/OOPUrh7KDCZzCDF2nbZjumjy/JKd1Z7XNJYCgLZhR1HBEEubEIngaP4mz7JK8pK9wUy9Dxdzm
dXVJ5VaQWVdeAkeiHksuGRlupz68Ctvo8VdNSRLtsfwzaHPJuvRJb0euqp6aCQp9nF11QU4UeHZp
dDVIUwP8id6368ZI10Pn39AO8Dn7zc3GcewMPImWAl/xb1BFo4dCIT51Na0CJIV6PrC2EDzqVbVB
VLvzTot7NOhGSoKsX71rIwijfu5QGAlQo8U4LkXUQ4xy6SeS4oRLP/eRnZsBWLVAbdZ5SmJ8KeyP
c6kZWyUZP7lNE3o9ZBYWUBUcS6CeJQQmy8Wf3MbiLo/jiAkjgAIGqFBmyvFkq+1nutdnWRm5530b
idXkizsjIS+TfK33xjRvkoaMa4gJn3Lw6j5ggbWfqZuBoSd9eX86bzi6aD3keyvLurNp9g+xnP1N
Q3EWknPLP8rQUqJQRi1lLipn5irz21oMxiItpsuhYSza9M5WDKlPB4f4gbYzHxA8q9cMGZgy4kVd
qhN/RDim5oJjsLpE30t4oSpBLnZvkLldFIsqiOURMN+1vnUdFOZOi4Tn5M5519vmToYX1A6/rq4C
gDRdgnDYou0yEjcbEBYbcG/HztYhTfnkAE8hTgMysXoaAw0xzvQz8tqbCwdh3Ni+r0QyL+uJUJZQ
f1drg7Fzexo+fTBfWPp8IWxyW8vCt1Z5rGzQUCXLEp34ou5It6XXjYy7x2PQRPp2biFOVA3ZblOk
izOrZPjgp6Cxu35a1oWreyTLlwQj6A95HdHZccJ3YWs1W9GVcuhLCkPsY1zw+bLJJjaRLlZ8qYYo
y6Zef4jseWMRI71g+LrtGjF7HX1tkNiCpLmiOndsri0rq3PMA6lndqYKKiHvl1PaFZ6f2esmIWFE
GcJoGzTaZ9+Na89vC9zyQ3GwZliyTs5OTkDutNYJi4XFZ84bOwpjj6DLRedo961CeaT5/n0VFRUq
V2KO84lY16ifPyZZQq4MHgC7YlgX6+HWtju8EVMi6CPk0ULjDXcjTxs62WRJy/9yVut11FThqrLF
sTMHgb6+mk+lDq5zrlvohpXimGXkVVWB0qcTKNlgozmd5gVMqt3PziOcjCRyQGXJI7SsmnCK5x5h
buiBZzPLeBzAm/17ev52euas+crpmf5B+8v+CZH+ydFZJkbp39mezxQ1KjshWyr0LVSkQu6RP7dP
F78y3iQXO+FzYo9UsSFRY2/lbXSwnH+yf9Ip+GX/FGzgAr2aSUMeAuDz/TNuiHQrw9A4sotHtKFi
mnHREMdXlchol0L4CpemREfpEiLVSZxUbTXqcUYpv7TCqjozwZslC6pEjD5BOYKiavUGfYUIA09I
UpUvmVWDpFchmw1vJ0m0gpk78ZyST2KRZqosZlNM73I6juZySPW04Z0kiT7SRse/mSw1BcxvmuJD
KYn1Y5GfS+xqhvK89euP8GvV1otVNevP2AjL6v1omtm+io15OPQ+Z+khGm9Gp4mWqg3cCngmg+NW
jpDtsYnx9jBW9uWAOa2y+GZUI1oUZZOs6ixgEF0ZkMY1yP7eoJAqOY+Vexz0LN9HRdidIjnQRkfE
DE8OucPIJ5JFyNG34aRMwRFGzbtEjsbDxyl5IAfmszzx6nKIThyisWNGEq1MOWLvfUb66ti3JI7E
KdhPRvFCDuWVJqi3qmLTuYiZ2GdyeG8/zvGRMyQM9V3Tb0525n5uCuaJsfzzS3mFWjFmWFVqhvaB
Ua2A91g7v2ydJUTvYK8ZJHO2xljsMVdQKs1oDSK2TdKv/HkzlHq8Gqbe9XLKP5w5ibWhY3OVB2Po
ha4x7IKKlQcYIetLYnc7BNZbvXIab3bAOgZlPTwkVI+o/s3LUbCL2tQay1IL5q+Kmlwb9dRvySwb
PNVv6NsPdBciWu+70Bhs5jVVpVwMei2uCzw+H/lCkOHCRhovEkIUaL7GtCDiui1Xyqz65yp4o0Vt
FuFF6Au65WkK5V1O409CnthqeXaL5Smul+e5QZ7sMkY2+8IIlNO/y+G35RBf46vL4dT81/au/lzU
v1kVee33qgI1ocbQXEccy0z6eaiBQbwI4l7ZOEDrxwjwybJIgggtCJWD0t+v+llVILalmWQwjjR4
2R8NDl+AXoilopdAf0IiVlifaVI8XxWLBOVuP/rGSTl0Hs2uB+QThrLYiKO++no1HMp48+Q+Hb/1
Kp5izdzn6zANEFdFsEwdpWFflWjH5+/YJzSf01aMpzIyo3DbV6Nf3zflAOZMqR1C7fNyOBDwJnM3
7VFXSWl1CW1CII92rkeQkCwYm1RixRCJAU5mkRh18FN9cFfZbOgXTVVx/NWMvCaiGhHKSi103yF2
cxz1VZpbnE7nCH0VI6yKaZm6qMbSwQfQWAaDTE1L4Tond4aGuN/B5JRjDM1Anyplpq7t2ozXo9lu
EkVf5tgijSrfN+p8ObkE9U2wwxQO/0F9mce5cYxdQqXGaox3VmSE25G+w0ob9bOoTcJ1nTA1Cume
v89TB+dFmO4YhhFB7pR3KnywVSNq7UDY/LwcDZfDlN6MsliSCQqj7+wUw/yUOENveGrTtUhC9a+u
UDbYWdJFRy22zfNQ57g87hginjXVkHVLKxXldZuwCBTMKrcdVd1S1+a7cupop5LGcMhIcLkMosKm
zFOiB1ooxUORu9c2beyBz8no64JY+FkLPuMnda9e/27Qd3tS4j5+NTCVMymnvWVLUOjzr4Zd652L
fV2ckFUbyUExPpjO2etv8XyE8PgWDPFlEa/zUApdNtiezMnLzCZvlSHvqRnLZWjFXmd9Q0T/o8v/
Nxfx7B1ePFHJbBiZmmnGKWVe2FUXPTrwIPjy+mX89k1oUWhIYVzLls2Pp5fR04Ca5s4iAkjcphV5
FQrT7O2fv4eNscCiHwoZXfZDnr5HUcIGH0hWP1mFtjKHcQUPyhss99uC8P++I4Uc5Mn9Xt61d/8F
RDdqp4u77OF//nvXpHf5/W/2Dl71Y+8QpN7wQEDHhbbwfO+Aj4m0k8gqk0/Gfh5HSJSrbBFJGO9z
3xodbIHFTGWzQbIi194/aEm5z7+E7B2E9OBOQQZP19tAefL8CxLbY9xGftGfrHm21oMaxAc3QBS+
HDs3200jYQ+NrhEHrghc3pw6D64SD3dpR31o4Vk9D61hrxSmjUW0GLwBz9K2gLy3QcjnQ+kLlK+j
nhefety//sKpVP9D5roZevWa6Z8oDK+HaI8i0EKwEvbtgXRoixzR0fkcpkr2fqidYWOVERHM4Wx+
jE1s8GNflbv2MbGtluFtkYxxi2SgW5AbwQ0AJZieNQNGe1dKnHafzqi92+AuZmnf4/JwVoPMjfPD
ZMDHRr88Gw2M3fX4ZWzNeqETOFdNeXhlTjXgSJwEJ5uCmOTzVlu1OO0XupO4aydxwj32tAnZu6bY
BLsXCZnM1eScqQEyenoN6mWAyGQPkWZgQInw58A/sm5ikVn35uyoNKnt4JCUho55fppXdehD3Nb7
kfOfQK5dZZaCd94c2rXfiem92fcDORyt2h4nCIjoBocSGeFsYlJ2MkgFfRG6Kzr2nSA1w43PC9w3
68ev+L/PusMq/8+nxXfJXV4Ev8uOka/7/rRLHRmjd0JGBXxPnF1P+s/qXyTUWdJy+rdY7MdJ8ZvE
jAqZslbgZ+EXfj8pEmyHq5RwCk5U3370B0/7bwpoFiDSTLFDMcjFcvZi66QtOBZWolnHalLjfteX
mJxJtFQ/+Vab1adGb0z1Cg+8W5xXUsJSOhp9nmQMg1uQMXqfe35q976y+1sOY0xaBNepxcfAgNia
TeuItIRWr++GR5wZU7QYZI4TQAFr3SbW9MU38+B9IfOgsjhoPU7W/Z6517hlRFSsKbGUM7tXJ3wj
Q3znOmm96jU0nnZGSFXNinnIyr7eW3ZSfall1lXZKKbp5X6Q33ST3S/GIKq2qa+a545M2WrCLvwc
NERwjcI3GBnX6sGBi7jnOvTVaBj1+1EE87usqDl0tTJtk/ilfh1qc7L3zSE5m6ceOUHFoW1fjKp7
DIOIeIG6q8yFAt+BOVgL7rrT689l07MCamZ9oRlZByI8tN41HKWJSFUC413ZZ+59hwIJVZQ1niot
x2erkkO1dFR/xNaPq3MXNH12aNo5O+EkKegOZs50VsyDRofWtwEAhCTkbfy5yy51NWuOTlaFl0Y5
ZETWCzu7jVGsSeJ5l17XxWDXS60NM0zt7XjLt1W5EJnmH3D2addTm+T7OkF+bYaFuR7VGQ9NUJrt
ZdEH0GH9WT3mxGBuDO7wgVsLvzXstCk7UIX3FyIula/4VtwNvXXaxigp+CrNelJvg8SvPpRT2Ow6
rSs/1G6j3XcVqc65HxZXhpiKz0GMhclrBkojr0nz6Ngin9uklZpnzOMEvmDuW7PHazSsUzewd31i
Envga0ztES5pCZGDw6S8V/2wwvQ61vepKuLAS7K6za5yspkx39ajekkHPz2j8xrBUTN63H9u4abB
qnDH6gJpcXwxW5p/aUZTsZnKaWT8xBLx71opJ1v/vFYeora5K389F8lXfV8pMe/RTuTrTTn297j9
uxiXclvaZ76vhrKEeNJqZP2i3CUDhMORibr350oJ0QrvB74ODk1/WFM/svyeDek5LgvDpdgH9IWK
6sXBGe+gm1kIF0+9G1kfHDvXzpMuNpe0isRKzVSwyECKmp0J6X/litE8YMdOt1aiFyueIXGKiIi/
7v3UJx4Y+InZdeqGsHblKm6IGciLQf+AcyTcDI1fromMnfEUKPmqkliVYUzbTxkKzRXp4wkila7c
t/TvtyUC/z3WDrb3Qe70w+OmT+Zxtw1GTgLz46Ggzqt4k5lxt9I72ou0AJ2VhXDo3LAbZWvU9eUU
WfEmhsCxDZAYL+Mizw4lbKdFXRuEIGd1hIs+H4pFEgVJt9VCVE2s86tqCqf3k2sNoO/66KjOrrW3
1KE8WG4ZbloWMI5uCvF69nTWVlGziWKlWKZVi7zX17tV56TmTTq22V6lGbuqyXTdNK4dfvHn0lDR
4vYj+JPOXJkRoiAOk84uVYn5DZ0iChZjUwbFMsry+qA8xn1iBamiJfuUPuz1UYOiMlQWglM10eZq
QVsOaDSBiHN0/Pex/tYw41H758d6//D16wPZbL/JELF54ZMnGxgHVijBQ/j4IP70rBkkCH1LD3lU
Jn5/rJ2/dAYL5NlpnHO+je1/PtYmRA2Vs/F3PeMfHIB+qXZ0W3NkEh/6IP73kaL/pHOgRUZiDyIF
FWl/tggEsj5HM/Xdj1vym94YHTBKpp9Lx7f2hE1wMCUakm+G/c9LqtkyK8sn++pUDjOEB0FP2OFB
kHa3OF9ypUzIDSPsINTAfyfOV7fquxTJNrJm1USGTiJfl/ryeXCq6AudP/dMT6bmKjMn82Zy3W41
hpPpRXlC+6Mvm401qme6fO46+QRWzhBuKt0sD2qf2RzKrOgYRUF67oM3O/MRQpwwSt04osYDrAwG
jbkmmSMPZNkNakTgZnIlSOSaEMrVAVWzy6ohykNJzPiyLITYqG3Vof0bMCVFWrzPAtEeCQ+rHqah
Q43kDxjP/F51OH9R0SiytklllaPJeseSlU8iayBfVkO9rIvEY4kUymrJlXWTJisoTdZS/Bv+Tw6L
c7ZNytyMLuw2de8qTSYSKKHf381hi1/IzG+BGJIQLOMLfLtJL+JiyJl/5qQboKotCbEn8qCP7OEc
W1czedVjMEJH+ImxbjqlIukzIb3Y2WS1bS0hfyQY2SokFgCzMt1NxgtcCLa1VbQGzLzij352bJzy
4Pv+O5S1iLDTdTXIk4Y/vWNgMTCwGDU0EfCYhnpkYBxH2JaQVcgZG+n17Z6qbqel050eaeBcyhBN
SGh02yzLjlTNp7FEmDTPtzNEa69thbGIcF97us4A23TSZM0hLNzy55Y7KMjTEnJLt+jV6mM1hxzV
CxziJboJt7YwZiIo3VbdcN5oYKwK1y6XXV+bm9YqCgbbAZlWZnBmig5/ngZif40/693EUH4Z8Kl5
eRnmJ0W3wiV9XfNewy5+1gbVJ8dFLGI/Nll12W91zeyuyyeRLvm3NkY02ZmdvnVpm3EO+ba9/sDJ
nfjl4wbih50aggary4s2mmnNkzMqiX0yRegFBshA849hrI8QoR/vwKHjaROtcjFumGpqnxz1ui12
sFsWg/PxP7uKF+eNIEw1usm8RwDcDnOcmb2FYn/rPr3o9EyYII3e4j6hADT9grbmW5B7OQN+9aN4
UV3WsW+bQ89bZLWyF1q36nGSai7N7G667PRhocRM467GmBFamW1Fg0w629X2tA5bcKQ6Y4t5Lcy9
CY7s9dv7fOH/tiY//ZLINfvJwh+aWpeM4D5O9UCiuvJhHouN+hbo+q07TBfw6Zu4oaai4+RNEgA7
itt7Av/k/+E66NMxUJIx2jKy/ulbDO1sBDN9wZOt7OP+Vkl2RvhG7/t329djiKcDXYZWwYu38Kso
141UsU4Jja2U42BGoHs4f8Dx0gXmG9fzm1tG95FBGHpbRwN4+vx64iDrfJjX9klxb+rs4JrfdNJ/
0sjn99OMwfSOQV1KHZ7er7xmmzXikY+kIrC7v4gSgFzO6fUP5bcXYTDOo42PtPhlU6XAfzpOqWaf
dOfGD75k6uXrv/83X148hj9//4ubNPrsYQgK7ZNllwvMQ96YP2BheOOjkN/OF+soHCJdFTpWcx1Y
8/Nb1erEAZRT4LDplECqziutO3RYk4PoLuoOoT388VWBLwJai+CCvFYEls/fb7Tyya9F75ys7s4A
itmgyNCC1Hv93v362Tx7l5dpyWGPb69sW+cUqhd9f5u3n17//b9+Ns9/PxXusy+Y3StJzwzu5Pp3
o5YufP2sDe9ff4+3rkE8f49A6Q2/HzLnpLf7WbtxjavXf/9b1/DiiRd55iqSeXDS6w+Rf9Z2d6P1
xnP4687w/DbJS3yy/mKqjzsbcOOpQ5NiU+DN4wORJ0ga1EWpf1CtGu+08sY3+q3revGNzkcfnyaw
uRNP7SJKESgqa5/C8D+7ey+WGMMNQ6zvfDqu+FpFX9VuWKj9G7fvrSt5sQLYfl21cVE5p0Rcz9O9
b9xXzRtfgt9/yai0hKazDMhEtqefECidudcKwzmVyY3QAZ/iYXr9Rskb8XyBkd+BH+/wkmk/WGEC
nMh0AH5AdrDPWggVc760zOiNZ/73d+vnG714Ji06lV1qcynVvK2ifSMQvx5ev5Y37pb14pFMUczm
Ck2i0yy+KLRpZ5SZr7/DWxfx8qFUCZOtEp2HEmtYNZ3bNH9n8/3rb6LJW/HLZyKDO6lVBbOBF19e
jK6dcCcKYoR0ypfEPhgP5eQh3Ax6r6bMu7RuXn/H3964J2/44psM0JkMbAK6Tk720NrX7lsZHW/9
/hdnsEmDVBu4sXtSh0vbPKj+x9f/folmf/WOvXhO7NEI0B5yx6LbVvHq7hjddMtkN7y7qaQRfT2W
b3wR3rgiiZF/+mBqVtXOChqwU51+Cv338G4fr+jfHrWcdf/o3Pwyu78qUQDlD782qeXLvreyQDdy
erRoTH1zk/DZfG9S8yMH6YlLfr2GZUTm9PzsZvEkYSiR4W+P+LmnTWq8t3jSQDa5Oous8SfDewmV
fPJdNBxUHXTLXFQK/AGaKptwT78aUTEiKDLD+miJkRHUbGpnbsoh0aPxgaPeC2Yb+7xFXXaTDz2g
+7yctWM0C6OsvLCFSb5rE+LvzKnXwH0Z+o2RmnhoczSoKCidcRjf+aLzKk346YWt1g5jovJLylF1
5av9uDb7JlmKyd7MdUojywQjRxQjBAiDJUTYxeiViW0sp0S/rwJ9IExah7RWV6MnIqNdKV08r4dG
fJ3DslgyqRmWbpOAX45VAgd6Pzn4QeO/q20380ZV1Euzr8BC0N87DgFdZ6I9CZe21Iq6UftoR0g5
myDtllqYF9uyms+tNvVXfWROF0NnpMuob6f5Qz/mRNGruP5NJvr5x8rJBchd7raPzT9WaHHgrSVB
YIHTLApWfZmY3xRM/z5zUpH9z88ccyHEM3fNrw+dfN2Ph879S6bkMYCxqdwkmPnHQ4eHixBVJCtM
sP9msXx/6Oy/mKrbeLWoXSA6y9yM7y1kaW63wKowNKIlzcTpTx46+tEvnzoGVqja4UIJtFu0s58/
dXPHFNTyZ2bos6j76yxzyo2Kj3thm75/rmfMSdq4Hu8NDYQRnAe6GqFbx8sxr+411devitIQ17aU
C0ePymFCZexd6s74c1SORr2UGCuZrp4ZVUg3kVZJ7onBb71kUkhcTjT3dgoMnJ/W/7J3HstxY+m2
fpWOO0cHvBncE3GRSEubNBKpCYJO8N7j6e+3U6KKklis1qEG50SoBtXRJRFMJhMbe69/rfUBo9cY
ogOnbo87FEbCozic43BQjx2i9YuaHqM1qOyaV2TX664F394RV17BhzFXDczsC98qZZcWQgKdFLZf
RaKzqOm02c0KDNXHGSb67izFkbiMsiRf+l2GEdnpaIYNzHDdVT15UlP+XBtjuNKN4rPEmJUuE17U
oF/6ivox8rsNIdQjWYPuoXTNKOzgxMKHdmKXoT+hW6/7oaVCjeJjaZ5uZx9kgYJcc+SrzumQx59L
o+xdfLQzrZG8S6MsIcXp+zbH/yc4C4syB29oRj0lspXUuU7on1vBIC2ooxjQTfXH1E+exjEuvXQI
kE6beR3Xyud6zCQoEvp5k3fLMo+Pi8xajmas7WVdoodgvpP86grUQ+oNFPgvJyuu3DYI8WviLVgj
r88UPpa1p5rZtCytsnOBOoBv8EXAy8ffnQym2xr9JbSBe5UCkY3J/N4rmnLjpwatmoREXb801DWT
QdJNgbVnf9FvnIr2LAi+Z9M8TK4uiqhnmiGPGwUzQWnh74VvKyit6Q0cXD4ieYLumeb3/hBe0d4I
qEMVfZ1NdNNW5qM5dtuYkhovzLPYa6TsYaL3akckltCbOmReEJjtVVViSwWiUG2nipiTDpGCSpF0
0cXpSuk7y6XB81MW1Sc0mc60+0XtrrDF5zModGL2kMrUAttDYhrgU+KrTIkgpqvJ1WD7H4Q/X+1J
OzGYq3ZmPHXuIIgaPHn6kxjIhp70ewjASIV0vmCsLdaqrz7xhJsJ6WIvkJO+9VTB7RiSMFn5I9ks
qliKRRRYWDJoutR1WgwwBlcAQEziHjlAkKnxrYUDIoSIyvXEb3iRYKldBxk8jNDYNpa2U8CL4Lc7
V/xi6TQ+B1PjQqMns/T6QTMIRGif7LmJ3T5V6aopII1EU/5xzCNa0SbGkVSJErzuq22mTLR/SxHT
1Dhb1lVYsI+mdbQjJOxaU/rZnEW3nQ9FBVtFTzkatA/YGt2qE9CVKaw/EPx4LMGxaGBZnKSGz6JQ
Ih6BbGmabtcl8ppqBfp0fP02dMjlkZFZ2GVzoQvuiyIIMFk12osGKIzt1E9dXZ/3ghbDLWbT4pRb
mwGUTCGYMlUzM3tO/au2105L0wlcI7Y2FoUKpRYBDjbkI0vwaWRANaUg1uTjcNrndbrQBc1GkfPz
TLauDMG5kQXxZhbsG3Lm9kqufcJc8qZxko90nN12JpUMqtzZWz65uxSWTkFDjVsKvE40dbfM1s8T
o//QFv1TzhmUrtkSS54/GgsbTI8DricuZsfrAPjkguRDT0YI3kW9LUct8rJIsj2rGoiq+/GpEehr
rMOlmwowEOnv9jQVsKAUapADPYgWnmZjQ8f2StlmxiFAQ3qQ9EsdEW9ZTAnyDTgiVn3Gc2b7OKpO
vgzIjVN/gzdlrkpUmFhESK3jIh0SqjbAGzlwjgp4Rz3wmzScriM4SIUAIkU6lqAIRhIViedtbV0b
Ig3aiVxopuq31FCB0E7DizFonFWa+bdVr2c0yY57zvsSN1nCmmdS/D8qYKWpGmYZnkMqYkkpefVI
OtUhpqr48wiHRPqIcJutuyC8ya3hQ2T5m5J8Kx2TJBdF5DUX4VdfIlIoSudjDXCAQ99dY6QLtpjc
rYfwrIjRkom/tu1s1YuArUHSVhOR24jnxVw7+BgeIqxSdAPF190wPYBSYeQmcrujSPAaZH4VKdiO
RHsDsr8SZO6JyG/f1BdYKiDxEAZWC4NfbXPBk+xzRFg4tGIqp0gPpyJHLJnmPiRYLC4V8yc2qWGJ
OhI/NBjcBXWlHiUIIgJBcEgoV4e0cnVILhPhV4/sQgt4ayuKwLMvKWd2nLbk/Tk7HYwANtunv9/H
HT/hWXllE8cXPW/i2KlpzA6IpAhpgQHMi02cxrSfA5NFKBDfsRCanzdx7NQo2aDTll0cZbfi8P3X
Jg6zv8pxx1BNKBu/VkPEtu/HTRymSryW2IhEQzcbze83cRnGFs2I4maf2BjfrvLYTMYjXyfprriR
1LWKq1NcSXdo2dxVop45hD1UricZgHIeZ+2urmzS8Y1lb5NxtvDfMgHgWDOS4ruEFJMX14WIweq1
sseDbOHltXrxvGQimhA6qbFVMpDylJmHeVNq9S4WGVupHm8oPTqi8kN3exHCtUnjKiPkd0IjjHxm
uucI7JIcwQEnQrylGj6V3ah56qw/lmnn2ofAr4j+6ocQsIgD+0WkbIki0QNaM5YqCtpBAv2eY1e0
QXcFDd/aK7OdeJyKxLHJ8u9Olc+zP2xOmjwjPTz0l/JIiWevg5MfZp3FIMcqkCjrqjCfiCA5q05p
TvRR7AN0Y1gkIgoti1C0D+rNjURQ2iYxXYjotFmZT13CbqoRserJAAmrBsNpJNP/N4rwNQm+hiRy
Enh2p8N965W9UXe0c4vYdiUC3NgEcFKS6U5DHc6QiHmb9ng6kPv2RQC8EVFwg0y4lvi7KKpmzyYt
LovY+ERbCg9OfqxKhMor0uUtKXMiPb6XKcWRb81df221jU5EPKqsm6GIBkraxidhnrCiQPXsZt5i
a9tTBt7Q9WTKLi6AcmeOEJV8Rp5LUobBohYeSJsNdtr0NAcYw7rwcwoc8tBcqTgg2BfK6nIMWI27
rNgXTS+5g0yIfkg3ZchPxPP1pMlmsvqDMbrUCR1hofyIt4wVUVlFU7bP1OIi1/zTqgnJqPbpg1Xa
t1KYgixw1Juen9crc9yQJZ4EJ5KfGqnKjyh/sm5qqwjWUpE7q3puTrWeNTjyb0yDX1tm9S1m/ea+
UcwdJ3jZlYuM5L9CKjszMPqWyapIg8o/phOiTE8K+zGvcwmlwAkzH1Nvxdut4mMHANP4kq5R8Wv2
e0uYNN2+nFXZ6w7pMCNV2TAMRnEzToN51NNdhdMkNKnFUwL4S3lcPc22da/mY+fWccPUy8pb/bSM
otFZRLP/p1vl/7AA46a0kXb/fkU/uXvV1iW+6NuKTlqFHhQTO7qInYh+pGctDMMmJeVUlLN2U9sm
Hh7PK7oF+8TCmMFYAfq7qEj9tqKL1hXIDVyMpnRBP/mVY/khV/aXko0WxlOGEAsVTtRDU/PCN3qp
hZVNQddylox7hUKIzvPxKJtHQ6QN1geclB2GdRLecalYXi7pszdkCYGOGHRhmiTF0p/Vxuupvd/I
uZ2vGnKAKz7R2uVY+Apuczle9n17U+Qc86NWfZg0DpxpzO5sGpPbKbc+TZIUnZsjk5O5M+r1nPbB
FfZw57Fpp2CXyvPGBPZ0bI6TuqEHbeRGKrSP9A9Nq45synKiTH0/VQ4E7rwLzipDp4ojkLVlI6qT
Y7XrnypObu0C1JCdsKcUpkdCRCXo3nnyWYrLoT5SYC8Unql10kUWRNZ6qsLu1I45o6ygawnPGQ/Z
mOrmzItEylo7mNM0uzprQCLox4gQjXUbIHwuZTApnVvkpi6tUhHK9KPIXP7ZP3252xCt/v5uO797
iD5HD6/soPiyb/cb2ySI1diQD24M8YH/dr/p/4bhxC+BfjPhanmhPR92UGyTuOO+VBb9db+Z/1Zx
J2AO4WZh3/NrwbHDZOjl/cYOjPtdR+NWgZVbKlu1l/fbXEyq1kEL2Zt8y9ALIj9/qjsVxPNglzDO
jDBYK7NU2dtqDJKBipO4Sj6bWU6NceuweNtiHW8OS7omVneZZX7spoL6LTOKPOPwGFAAobSkaiDt
8IxQqXE6Q7YmZkxazaofW5nN/qYVKVbSqFFyH2e9+phiHV+rarXL/Np3x9IKu6U0Sga+Ocfe0ixR
K5s41WUL91Hb6Z7UhftxbtmiqfIHzQ7ZQ9E5SLWyVuCmnPpk1dv+blSmlV6VVD6oOBWSIqjdXLeP
ck35oOjpfNZ1/gdSIpuptZLbIEZLHmW4BTGEyBD9QG/no86PFC8pDaqDOdd2hkI0rTpp7dJf9ApD
8VAZEg85W14GMBz2tP+WG8oSAy/jCX3usNHZ5uUkneIWQ8D/cyt+uRW5cd64FZ/yx3+d1U9Rmr4y
CxKxgOf78TALgp7Bh12nvFRk3p/vR0H4IlWF3EKa4Qur6/n5d4h26WQs6fUWsC4u+HyisSlUMagT
5AbSdTEM+pXnn6b9eKChvkwWz2a8iiI7+sPzL++DyRpoYDofzSnZUKAcyVsSBPINIJ24uPWHdKIA
o8cBCCzWB/K6rGQtbI+I+Sj3hlKWnCWsgu0ZPSS17LVtSDSHCsHKciep1y7szIKJA84IzusQyyiA
2iCrw7LRyeAcWXpiUolJ4AOpOYk6qvmpxpRUN1Wm5pMZheW+aB15WOSBwODUSl8v6S0IahqVeRbF
MtWAfz7Ph8+z8JO/8XmOnuqHVz7J4queP8nibE7JD+0Nh32cOIA/f5JJ5dBTyhlcxw1wKKZ4sZMj
X/OiHvO7szlcTj57NvZ9UYP/awMWncfX92NNdowoACRvePopKALfP1oyJZEntnnJfnBm2YN0mV9Z
ksMZZOZ06HPosi2ZnUuqImXreyo4ngYtHaBbatZNzp1YbVtHi+tjOwvJ55mlfEoWoFy0COuVBF/4
UDbWBt4gO9WiEUVkQabvelFNhl39RKWrbKDtsaO7jEnithZlZpOoNRstCs7INCVuJkrPKLeSYUJT
hIZ7xncjHh0eJcOpS42ofFXm9lMHyWnhd9CoG9vZDCZjjLKWL7SO0706lh/QDNaq0huomZSyTXNx
S+4Fu0dWHY9jep3Ce8rqBvBm3x2TjZncJh4JwBTzyRDEHNNoys9qXV3VTbRTqIWzSR7gKzeORivf
BoNRL6rRuBtEl1zXNc5JNbfHWjHcS7R0KRrHaYRyTAwE8Oi2L+4m0U4XHUjTvtktA7rel7PgvmvM
Z10lrvrTqWnuC9i3RLAfEgHDVQUWN4ePi9F7XQhebrCy7GghgdAtBUs3hPCcCLruIHf7XvB2TXB+
dZaewuQo2FrOoydZ4IOa2KCFjslRYbcOfv7yFLSB42qC7JvO9pVSAp4B+xuM8H+DlrEHR06UZuUk
7qsPna+Qlsyh0UTZuZQQCaUrn2e187mBL+yrLDC2QA7XAj5cWWmwoO3umj4r7Fr6eOJMGcjoRMKZ
JtjFyFefM0EzNme4xnaGSBMosI7VBhxY2HUfBpIRboJ86uagkWtdWoegkruGXEUZnyQBL8Zpqs+V
mh8lubpyNOlDGqC7U6YvnQR611Obmp9x6DcWKRkyxs/N1STXsysVgJtHpw7omUvPZCsGLl318a5J
qGuC95wlzZOe+YfTB+1sAgpNGuQuhBJtHXDRJS311KrQOagAk7YbbV5MOWJVkpMhCOFO++Z808w9
yVk/8CivIZ4q13Q50vS2gNyEbs/wQwZjXRrwrHtBtrYF4zqv+1U7K9tiai7oq7CPyhJNWcmlzQAg
W3bEV1YoyvFlPcenISDtUguu5lD+KM8wXHvB2nZGcMydzahgPqC4HSe+Gizo3OUB1C2pI8xuJvBb
uay601kQvUMFtnchKN/+PKCGx4ZyY8y0S6upjIqfqZTmNfJle8h5yZKUqfwqpBV8wRB8axwHq1oc
o8xK6fkIxsEZ0yf13GSV2WdmDs/CbqZVylnMOZzKDHFA4xH7VIemvaX7x+b2U/oTR1RT6+SHT2HP
sQkctMHT0pxZoASgZ1NEbbToRvAcDmGJUrY+z8PxQJG4S4NYRPY/u5qr7FOjJ/7KsKcruiJsUPdg
FpgUEfQxA7dsmbcwn5zp2wzRt5IKctGIvhjPSCo6EqANRJbhgTSuqYnfj4Z6rUkCWdDwtvdKtJ6j
fBXOzoVlAfTI9OiUaagMdqLXeQM7dWUFMfUCpQyT3AGamduN4eam8VkNiSExNOa3ArmIskpph0TY
0kporGXF3yrVsBwh7bq03HySpvIsKxVYctZwZqbhJmpMYD5Bup00v1tNTs5KndZ3CcFpQMZN60WF
3u/yLInX5ErwmbED2DZJde9XGTNP1J+FNhkndCsW2EWU69lx7keHSbVaGg+BNV40OlcKwIfxo/AW
2aXKWXS+1lSqg8j4HRst3T+quYPieUsOXWKdzswFOprh9lq65thLVbIkr2O6mLYwJ3Q3jKKnIBhr
kMv2eQGvigqZ5KMkh70bx4rhGfZdpc+Xc4map5gOEFBFP53M9HH0ZUGX6i7w10Ait2aV/p/hQ0md
ozdLauoao3HjO6Axqlh90JSeyWgQfeoT87qz5EudY8N2TEmBGZSIOgYftb5Dbws6TvuqhhodKHeO
kj1VDrNYyc9jji/qRzhK1yHEQVefzJu5UR7kZrjjuflpHPvTMq1Phiq+n4VCFx+0utzeWYh3WT4z
6xZ6XjsEtyoCn9R2p75Q/Ig+of21Kiqg0APBLj8VIrQklMJOaIbkQm98oSJqEKe7pHiYnIT53hyc
URJ9QU/IfjaqdYgQ6SBIzgiT6BQMXyuzFUH1E57hGSPedKO35kkudM0WgXMQSifeGrqdhPppCR2U
p5SotKXbXmikHIbgqdAohxwe/DnifNH2HA4Df78lvEzusrv8NUqx+LoXm0KC07hrsP7LX6YyLzaF
RKEN3bFxwn0ptXg+3pj/FtgIMo6Ya9QvrZDPxxsDvjqGHA7n2PvFNOdXjjcH+e6l3CAKb6g5Q/Sg
MV0gD7/fE9o+xk6aV4J919asTM0QB1dmbMYsJ1lgXzakAb3Wn4hMS2ldn02ZVG/iwu6XRTmbC55m
8LbVcF6XdXxBwai5kmKtIHdglEslB7He2/pA5S21NNzfljasKS6eTwpjyJpFX2XD+VTa1RMpTcUd
gcecm1aK3J4ZtLIP2DO8SRsqF/F0WEajXbgqbD1CiAplYfZ4TkkGS02kn9ZpTzcvxp8klqqFObKK
op4Am+sj1hXLZ9bhZQkyXldlkuCYGhamBHAqDtEqelT1XhnpYB2tGPa5dpg+9cgYKR4kYydZoTf5
bVdftnp53phBQ+dEJNNglQ1RNZz0PcB5dmO0xpp2lK6zsIud1TC09R8E2VcRXXT5v3GjtU84FBru
qUNH1Pbx/774suf7DK1ARytAiVNUWOBCu3u+zyiP0WWUcMN+vgOfb7ODioDvzeFkZMlMTf9SESxG
plBbcMMZVPL9ooqOVe7Hs5folqJDwcZ4R436jzI6IjZYLrmQz81aOm0GYBl6qCt0I+HvTCJJ9uQ2
PG+M9tZJVH8VJFqNNUqTcGpo0bE2ATQypJLq6Ti8nganWM9TZi7Dof4oa8GOyDEmA7jnnjbBLUZa
vND8clxbnC+2saRe9n5PJVLGNqh1qEygYEQa2AlTReov01g54YYpNij9nYfe0S40XJ+psH/GPg/H
mU74M8v2pSMn71EgEQi9RlhHwXL7Z51tjKL0hWNdJHGTpdLKjsGpDdP82Rc+VMLh7bK0wYeHwqUK
dG3AzqA9Fsy/PEV4WRtVqY8PhbBxUsmulRmnCrQQFy7VwHVQTdSo7HHZYXUYJlsgbYLsVMJAm9CC
eAbJd90Lb62GyVZuUv3aFL5bbD1sw7NWCtfFQRwpD0JJNDTlvrbk4INdjpLDXzuoKnGqzj0jjETi
9QSREx7pBxmmP0gylc5I23VsfyIopsj8Nmah3ZQHGaesUYUXaDYMW/ssGrFr9IaVcmorhkZZU87o
4O1Kaj30LL+7tFrrsyxAWKqSKwtFowo1yaA3w16E2ilf9kq5D6xkbcwyBkKbSUoBZksRvC1fkLem
arqhnWbF7xx/7qBmR5bgdMVi11YIdheFr0eNoHmF6EMr+h1NDo3lWRxWk+cD/2LKeU3VRMGkFi6Y
WQbGIjmwwuieXTBOhDspSGKOYIrRIGm5YQVnrBx8Y8G+JKEsBvRdDY5s0OGSmQq0njQoThn+7pyS
11S24Kuz1NlZZem4iaMcKwEPAkE70yrpSbbMR72sPiSxcdlpyW5O2U0Nw7CdBDVtRFsTDT9UPDar
qlSPM9u+LgGtdWDv3RD/WqHojifp/soEygYSgnNcanyuwLVp7ch+VhDcIt++qAJpE4N2K0G8yaDe
MsF8kwzqjHuH76jlDQpczoFRmhqo2oTZM9tUCGUPDxMwuTrK1m2Pv2Ae5XhRHohzitMdyXkxHmPK
+9DxgF6QfE/xEar3WeL7bmxJV30c+btGq27Vgtga+gqfJwG6o+lZOhnmcD6vDB5W9MSbixoyHl3f
+tL2M921BDYPl12zKSTN9+IkndeVwOvVArQ3CuSer5jDWlLA8JUCyEdZgLrMBaQvF7i+lKb+01kg
/FIB8wvCAbOE1TcLuy6xvpYxn+GaymLa+eX1xJ6Ro7BxVQpIYCZwgfAIOR3P1KZXOge4ZMAkNxR9
tzYHuYBKDt3Iz+p7NEXapwSQsBZoQgOawBEp/21oSphsy0ledrE4jeZcI4NuyMJH5XJoADxshm0M
AbFuymtpoCM6M3lnMHlyrMK251zOE/BEaypTz6xNbVVLPqbzCiN+mw25m8NddOSSU9mhOFSVwTJK
LeoJh0MkDTcJwociNxS3LerruAOexOw0x3VLMovlkcw0qPNxYeVFvxjB9S6yKbpUJA4DHPwzt5tn
a2NP0UMVprlbNCCVogR3AP40C/RsVC0pv57JXuMHDgLD88uSrrtCH90qpt0hVNmfpIz7XU0OaVRQ
PuFx27EEAEIN2xn0kROekTeTt5U8JR4un5UflZwhuqJ2YSRi0DD8R9DHxtZqFXObT+ImtHh1RWJz
jYQ3CWTy9o+c+0XOxT7+91uKq7Crm/a1xhVREve8p0C1VWUVUZGSFIYQYv7+vKdgNM8f8QffWpFe
CLo0PrIHwUyv0+crukGf9+5MEbnPMVtRUPzFZ/8LpStc9cdNhShtRxrGoE+7PBsM/vxF+lNWm77K
FWYAev1kyWaVnuQH80hVqYGrtRK+J3V6MDjcKqNSInOMmHXVj0OnPwW5ENz8+CnlZOyr1X6QZHQc
cWgG/atuEoc7c+JEbYijdc8Ze+CsXXLm1sXhe6jrGz3PMQFL1o0sDuihlmu4A8arOO/VRSGO8ZQq
XkziYB+NxWPLSZ8Cl8HVnAZ/0DxeDpLPrlwUMoRJdlMKtaDQzfNBbWs3QkiIhaLQdwMOK0QGXWZq
jh69tgZuR+wKcBcrEGQm4kSeGDsdsSIwlWOeSR3mZeNT0IznStIAgRzTcNEetA69v9AQPyahgnB/
PWCzuu7SpMRybJy0QjHxQTAuWkSUgir4dReq+L+d8SPwmUyYapujVCgvqdBgFMSYWagys9BnWIC2
kerQWzdEmwIJx7cYvgYzog7ijiIDrFSRexRkn2oy12KHysuUdmxY0H9gsVIu5/MOIBsVQj/CIZrh
q0BTsoW6RA2xuppjVV+pDDuZkEanmhSxItTGhcFuITvoVFPJ8lnZR21EHRRSVi80LUeoW35Q3sd4
Sbwi9EV7Z7hILdAtUJObZSUEMoLyUGOFaFagnmlCRlNi5aoVwppkUjSK0qab3cR8Wd+UunxtHbPR
fZqFLNejz1ElGi0CCclOP6h3oxDyDCHpGULcy+oalAcekDPLzMOd7JTBLvdl/3zKp/hK1vJkAc+u
XtNqjdNDeD5mzB8zJhCbcIardBBdieuiglPvHkf1TZVAyJTFhoydsLn2qZbZyEGDXqIr+SrGl7zJ
2pElH4boksrS2xBH5TKe59mjb9HyAtMBdUsL17aTrVrZaXJXwufKrR3wH3q041Etq5uhTZpPTZTJ
Or14DZth7gtUWE6GuiKti5jEpRdPTgZkrBY+rT+L85fFmdPZ3y/OH+/wqd8lXfbKiY8v/LY6swQL
X5JDZS8Nuz+szkzOcMmqwiX1HVRDKCsGJ0WUE+0HZQUip67TlUGcWmORZuH+hdXZ/HlxJk6FJcRS
0LIt7UcgZ2A5lTQ3WbW3gBXw6THqz7E/W/s+p4zNH22Y5ajC7lgPW+G47OIeWydNcoAUtACkI6eI
qTJXlcmwSq0N/aLqU9dxcEa17bQmNgNYk43xCaewbOUwuqF6dA9abhQTq7NSbcK9ntYtxm8E20Vt
HsHQCTov1VpLXrZ0ScpLbhJdWUp2pfYus3TqqupwmYwTKz8pdaqt+nhhamGEs9OZDMOd27m/rFQz
XMU+VM4Fjv3ZA9c5nESFaXmNrdRnVWd3G1+v8FZZmFbKVv2YE3pEpiSTnOUDUQHqhu4lCVFlzGLw
chI9pG6XaszIJ3JK94HhB8dM0ZI/W52vMiXmh7fupjS9+9fHO/79yv3Elz7fTygouH8PIqC4D7SX
RgyEEl2h6QWhkEw7XIVvux1INFTMgKHBR4TK8nK3I/COsN9FO++v5wMhyv+426HHRnN48CBk8L8i
ifhyt1NPPDLTMenPAytb5WUpKagSXdWJfEVqqivYXclUgkP6KMcV+dVubJVtnZf5EWWv2U0fkOFb
xiaGoQVMxLLeJYnczEtRdeamzcyghdN0e6QQspuXOXXW+RkiY7pUCCp/qDCCrpibYTPPjRuoksmV
UoGscbJyWLAE2KvQIa84hZH9KfaDcK2UqfJgEAU8nezBdnEm0Tdg91BpUyC9neaUXisrMKlnKdrJ
RTk8amqYXw2Vrn6a60a6iGwJ5uEQ+FeSrwn5Bhaurff6NWtE5jqBYm8UHSwsanFJAiU9TYPB3xEz
gwQ1JAqrQBks9Dblp6UE1i1t3V71QbhPauOWxy9++7LWj8zYWKtBW54Nud3tslZX1mlaHSuC8FsZ
6uNIPxkntFTzesEBbqlgg9qqDSeoXdrSMrCnE2XCGinJKRVTGmlIOVbnnQIv9pJGr/7cVOrc6/tK
WiU6wC0pN4CB8etlDhPPjKY6bQrAfeW3esexaIqTBqhLHTJMCutiqRTw3Lo8LZcE7aAOGWl2EpYd
I0jGrH/Sw4cFwhYpjTcWiDBqGWT8tDgcvuzF4kBiH7C0aeJiEaaqb0ch5FUOOgqyy+G089I1CTBW
5I05Cb2CatGZ8LE+fC2c/aW6fRaiHxcH9gEMjXkVVENijP7BNqnOWtc3SJznmTn75+owJ9uxkP01
iMNo2vu49Jt9qRrZp073jfRTY5GojG07WllyIlOimCROc6omTnRZICsw6rdwN5P4j4GVhB947CJF
BpqVp+syE6tGOwYOZsgyEoJcRERALX08FT6sybRO9yZiqjfRB7Owu9AUqbbUc2zY9up0Uqgj1oBO
OQmc4HjCTYHoNssLZMzKRfaoPd2OLypYdRyVxnsUydN2Ks8Hi7Jny2mxhxnWwphkWG8B3TupMbKu
FENwbtkhsOtoaheVEefLSElTr8+tkypms46uuXRquk6mdMB3MNIoKBXOPrQN4iAgA/q5vbLNXmOd
KeZViMfFG8raWhThHCznyhqOCxlXtiLw05rTPhZq/XECiQugPo2QKJSovDaNfBkaEVMa4NUssItO
rc8JmQLgrY7B714ZUb7ThvAiAn4dwKaMgGGbYX/GM2dFjDlcWDC5wEk32lFrKh/krsvBVxmELBx7
HajVuZo1EAinepVb41HUxZsOmiRbl+E2ydN2WGRgz9eW4mTrWCGhlifNPTBHcLiBOTF+1yChG4bk
llQ3nAQs6VtDCpqzPK2KI40DxWlM/eptHylq4TZtWu30Wg5dwNjASupMGFqmYNFMEkuglFKHW3Tz
thbUW6ZUxglvuLXLqdM+Vw2D7s6i7M8LPTVXMXVdXh0xq5Xq3PDCeuoAkpXFLgvr9Ejxh3htSKH0
SScptFSaqPD6Ns9P2yC3H8a8i47p/Uw93cnqrZVzNJz6ulmanMtXkLljtpZAgDPcHgsLPfOor5Ju
yW2XYkSEGGyWQ7RUKQ52A6YjrqTNEDVBDGt2aiEfI4WBzew9ayL6k1Sd/JAqcIqliH8lasEBXwCM
az76i3EwEX8F3thxov62jztOYjwLLkJulD3vT70YCJQeiUniQhe45Dmo5p2c6NE2lSRn1yjFsTJ3
lZsbMDdLROd1OY/ZxTjXxmYoktsx681dGpOZ/t9yjvraXCFaUpaH4dW+e6qni6emS9vm+XQh/vS8
iPL2qvjv/aW3L/R1bHY1laBV7h6zKPeipq2jh/blkn/ojPvhMXF4UYdX/NY10jvKJ7pHLq4zgxPF
DRoxlsM/rMJpkQdf/1iiJuLfBqgGAojMx3givXh7/u4NePtn+/JOvv13/v618/J+Giny3757VP4n
74H4Mf96E5g2YrKkv+brm8DD9/s3AXINvRlUdmEQ/Z/4JhBH+g1vgsXhl0YRGgjFP/y+f3wTUEAV
RqL/M9+Dgzv2nR8EzlPMkGlUQaEQ//x0N6j/ZsKMTx1xQPzzZZf2H90T/8Ff+ra8LMIofTwsLNFT
89r683d/4fm2+vnPX9w2X9aN7/6qWGm+fPcvd5f4///13cKjHu78F3/6vBIcvtXXr//6M/783b/7
Zs8/2PN/3GDUvqsfwunwB9PXV/qFK/X/Hu+y5ud7Xkg3f72WH9bIl+vBm9duBGz0+UJ/eRRMbvJ3
X9zlCq8NK4SN4N0XX4RP4LaeL/TilYtJyOGh9cqj4z99WxapEB5eUfJMoeT9hqvXyfN1XrxyoWq8
+9pF2mX3r9m7RF/Yb7g8Ttl2fr7SXy/eYhl499U9II3p3SufdUqa3n/11VNdT8/XefHKWeTf/cpX
wJRx2b7yebR+x226vqs/R0/p4/MrffHqf8eNun4DBf3eDyTX/ieu6nu/xZvgvfde/J8wF++9/lGU
Bz//WkWv47s/lG+Cd97/ut9sb3v35dPoIaEd7rvd/hfh2P4dN+xbpSXvfe3HUf5QpK+sBfbvuFnf
Cue/95X/A9buvZd/O+n87qv/c3jz3d/irTzdey9+eZf/a9e9tqdxfsfDFeM3R9rnZeWvJ4jzO56t
/+Aqf/dbk5Miy6ImfOXl/47n69v1r+9+9W86gd979X8wBb338v801n7/9f9p0Pfu7xDetQ/Fz5v5
g2Dw7ofsxzfnEO997bd3SZTd/fSpt8Wp/B9e+msH0W/a1c/H02dN6rUv+/74Lf7GQ/p0V//X/wcA
AP//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58266</xdr:rowOff>
    </xdr:from>
    <xdr:to>
      <xdr:col>4</xdr:col>
      <xdr:colOff>20553</xdr:colOff>
      <xdr:row>31</xdr:row>
      <xdr:rowOff>158752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70687A85-B7FC-452F-BAFE-7AEACE5A434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4263554"/>
              <a:ext cx="4649703" cy="19102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ject1_solution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Karin/Desktop/Meucci/Meucci%20Excel%20Expert%20Study%20Guide%20-%20meetings,%20contract,%20and%20old,%20local%20copies/OLD%20DO%20NOT%20USE%20-%20IN%20TEAMS%20files%20that%20have%20been%20uploaded%20to%20Teams/Project%20files%20-%20local%20old%20copy/Project%202%20-%20completed.xlsx" TargetMode="External"/><Relationship Id="rId2" Type="http://schemas.microsoft.com/office/2019/04/relationships/externalLinkLongPath" Target="/Users/Karin/Desktop/Meucci/Meucci%20Excel%20Expert%20Study%20Guide%20-%20meetings,%20contract,%20and%20old,%20local%20copies/OLD%20DO%20NOT%20USE%20-%20IN%20TEAMS%20files%20that%20have%20been%20uploaded%20to%20Teams/Project%20files%20-%20local%20old%20copy/Project%202%20-%20completed.xlsx?8A3E2C83" TargetMode="External"/><Relationship Id="rId1" Type="http://schemas.openxmlformats.org/officeDocument/2006/relationships/externalLinkPath" Target="file:///\\8A3E2C83\Project%202%20-%20complete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Karin/Desktop/Meucci/Meucci%20Excel%20Expert%20Study%20Guide%20-%20meetings,%20contract,%20and%20old,%20local%20copies/Working%20copies%20Excel%20Exam%20prep/Project1_solution.xlsx" TargetMode="External"/><Relationship Id="rId1" Type="http://schemas.openxmlformats.org/officeDocument/2006/relationships/externalLinkPath" Target="/Users/Karin/Desktop/Meucci/Meucci%20Excel%20Expert%20Study%20Guide%20-%20meetings,%20contract,%20and%20old,%20local%20copies/Working%20copies%20Excel%20Exam%20prep/Project1_solu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people"/>
      <sheetName val="Sales"/>
      <sheetName val="Products"/>
      <sheetName val="Honey Orders"/>
      <sheetName val="Honey Sold"/>
      <sheetName val="Customers Report"/>
      <sheetName val="Customer Counties"/>
      <sheetName val="Sales Report"/>
      <sheetName val="List data"/>
      <sheetName val="Market Report"/>
      <sheetName val="Market Stall Projections"/>
    </sheetNames>
    <sheetDataSet>
      <sheetData sheetId="0"/>
      <sheetData sheetId="1">
        <row r="2">
          <cell r="J2" t="str">
            <v>Goat milk soap</v>
          </cell>
        </row>
        <row r="3">
          <cell r="J3" t="str">
            <v>Rhubarb-strawberry compote</v>
          </cell>
        </row>
        <row r="4">
          <cell r="J4" t="str">
            <v>Goat milk soap</v>
          </cell>
        </row>
        <row r="5">
          <cell r="J5" t="str">
            <v>Goat milk and honey cream</v>
          </cell>
        </row>
        <row r="6">
          <cell r="J6" t="str">
            <v>Mixed berry jelly</v>
          </cell>
        </row>
        <row r="7">
          <cell r="J7" t="str">
            <v>Goat milk soap</v>
          </cell>
        </row>
        <row r="8">
          <cell r="J8" t="str">
            <v>Strawberry jam</v>
          </cell>
        </row>
        <row r="9">
          <cell r="J9" t="str">
            <v>Goat milk and honey cream</v>
          </cell>
        </row>
        <row r="10">
          <cell r="J10" t="str">
            <v>Clover honey</v>
          </cell>
        </row>
        <row r="11">
          <cell r="J11" t="str">
            <v>Wildflower honey</v>
          </cell>
        </row>
        <row r="12">
          <cell r="J12" t="str">
            <v>Buckwheat honey</v>
          </cell>
        </row>
        <row r="13">
          <cell r="J13" t="str">
            <v>Oatmeal soap</v>
          </cell>
        </row>
        <row r="14">
          <cell r="J14" t="str">
            <v>Rhubarb-strawberry compote</v>
          </cell>
        </row>
        <row r="15">
          <cell r="J15" t="str">
            <v>Mixed berry jam</v>
          </cell>
        </row>
        <row r="16">
          <cell r="J16" t="str">
            <v>Strawberry summer soap</v>
          </cell>
        </row>
        <row r="17">
          <cell r="J17" t="str">
            <v>Oatmeal soap</v>
          </cell>
        </row>
        <row r="18">
          <cell r="J18" t="str">
            <v>Goat milk soap</v>
          </cell>
        </row>
        <row r="19">
          <cell r="J19" t="str">
            <v>Buckwheat honey</v>
          </cell>
        </row>
        <row r="20">
          <cell r="J20" t="str">
            <v>Clover honey</v>
          </cell>
        </row>
        <row r="21">
          <cell r="J21" t="str">
            <v>Goat milk and honey cream</v>
          </cell>
        </row>
        <row r="22">
          <cell r="J22" t="str">
            <v>Strawberry summer soap</v>
          </cell>
        </row>
        <row r="23">
          <cell r="J23" t="str">
            <v>Strawberry jam</v>
          </cell>
        </row>
        <row r="24">
          <cell r="J24" t="str">
            <v>Strawberry jam</v>
          </cell>
        </row>
        <row r="25">
          <cell r="J25" t="str">
            <v>Rhubarb-strawberry compote</v>
          </cell>
        </row>
        <row r="26">
          <cell r="J26" t="str">
            <v>Oatmeal hand and body lotion</v>
          </cell>
        </row>
        <row r="27">
          <cell r="J27" t="str">
            <v>Oatmeal hand and body lotion</v>
          </cell>
        </row>
        <row r="28">
          <cell r="J28" t="str">
            <v>Clover honey</v>
          </cell>
        </row>
        <row r="29">
          <cell r="J29" t="str">
            <v>Mixed berry jelly</v>
          </cell>
        </row>
        <row r="30">
          <cell r="J30" t="str">
            <v>Strawberry jam</v>
          </cell>
        </row>
        <row r="31">
          <cell r="J31" t="str">
            <v>Rhubarb-strawberry compote</v>
          </cell>
        </row>
        <row r="32">
          <cell r="J32" t="str">
            <v>Rhubarb-strawberry compote</v>
          </cell>
        </row>
        <row r="33">
          <cell r="J33" t="str">
            <v>Oatmeal soap</v>
          </cell>
        </row>
        <row r="34">
          <cell r="J34" t="str">
            <v>Strawberry summer soap</v>
          </cell>
        </row>
        <row r="35">
          <cell r="J35" t="str">
            <v>Goat milk and honey cream</v>
          </cell>
        </row>
        <row r="36">
          <cell r="J36" t="str">
            <v>Strawberry summer soap</v>
          </cell>
        </row>
        <row r="37">
          <cell r="J37" t="str">
            <v>Goat milk hand and body lotion</v>
          </cell>
        </row>
        <row r="38">
          <cell r="J38" t="str">
            <v>Oatmeal soap</v>
          </cell>
        </row>
        <row r="39">
          <cell r="J39" t="str">
            <v>Goat milk soap</v>
          </cell>
        </row>
        <row r="40">
          <cell r="J40" t="str">
            <v>Goat milk and honey cream</v>
          </cell>
        </row>
        <row r="41">
          <cell r="J41" t="str">
            <v>Oatmeal hand and body lotion</v>
          </cell>
        </row>
        <row r="42">
          <cell r="J42" t="str">
            <v>Rhubarb-strawberry compote</v>
          </cell>
        </row>
        <row r="43">
          <cell r="J43" t="str">
            <v>Oatmeal soap</v>
          </cell>
        </row>
        <row r="44">
          <cell r="J44" t="str">
            <v>Goat milk and honey cream</v>
          </cell>
        </row>
        <row r="45">
          <cell r="J45" t="str">
            <v>Oatmeal soap</v>
          </cell>
        </row>
        <row r="46">
          <cell r="J46" t="str">
            <v>Oatmeal hand and body lotion</v>
          </cell>
        </row>
        <row r="47">
          <cell r="J47" t="str">
            <v>Oatmeal soap</v>
          </cell>
        </row>
        <row r="48">
          <cell r="J48" t="str">
            <v>Goat milk and honey cream</v>
          </cell>
        </row>
        <row r="49">
          <cell r="J49" t="str">
            <v>Oatmeal hand and body lotion</v>
          </cell>
        </row>
        <row r="50">
          <cell r="J50" t="str">
            <v>Strawberry jam</v>
          </cell>
        </row>
        <row r="51">
          <cell r="J51" t="str">
            <v>Rhubarb-strawberry compote</v>
          </cell>
        </row>
        <row r="52">
          <cell r="J52" t="str">
            <v>Mixed berry jam</v>
          </cell>
        </row>
        <row r="53">
          <cell r="J53" t="str">
            <v>Mixed berry jelly</v>
          </cell>
        </row>
        <row r="54">
          <cell r="J54" t="str">
            <v>Oatmeal soap</v>
          </cell>
        </row>
        <row r="55">
          <cell r="J55" t="str">
            <v>Clover honey</v>
          </cell>
        </row>
        <row r="56">
          <cell r="J56" t="str">
            <v>Strawberry summer soap</v>
          </cell>
        </row>
        <row r="57">
          <cell r="J57" t="str">
            <v>Buckwheat honey</v>
          </cell>
        </row>
        <row r="58">
          <cell r="J58" t="str">
            <v>Goat milk soap</v>
          </cell>
        </row>
        <row r="59">
          <cell r="J59" t="str">
            <v>Goat milk hand and body lotion</v>
          </cell>
        </row>
        <row r="60">
          <cell r="J60" t="str">
            <v>Mixed berry jam</v>
          </cell>
        </row>
        <row r="61">
          <cell r="J61" t="str">
            <v>Oatmeal soap</v>
          </cell>
        </row>
        <row r="62">
          <cell r="J62" t="str">
            <v>Rhubarb-strawberry compote</v>
          </cell>
        </row>
        <row r="63">
          <cell r="J63" t="str">
            <v>Mixed berry jelly</v>
          </cell>
        </row>
        <row r="64">
          <cell r="J64" t="str">
            <v>Clover honey</v>
          </cell>
        </row>
        <row r="65">
          <cell r="J65" t="str">
            <v>Oatmeal hand and body lotion</v>
          </cell>
        </row>
        <row r="66">
          <cell r="J66" t="str">
            <v>Clover honey</v>
          </cell>
        </row>
        <row r="67">
          <cell r="J67" t="str">
            <v>Oatmeal hand and body lotion</v>
          </cell>
        </row>
        <row r="68">
          <cell r="J68" t="str">
            <v>Goat milk soap</v>
          </cell>
        </row>
        <row r="69">
          <cell r="J69" t="str">
            <v>Buckwheat honey</v>
          </cell>
        </row>
        <row r="70">
          <cell r="J70" t="str">
            <v>Oatmeal soap</v>
          </cell>
        </row>
        <row r="71">
          <cell r="J71" t="str">
            <v>Mixed berry jam</v>
          </cell>
        </row>
        <row r="72">
          <cell r="J72" t="str">
            <v>Mixed berry jam</v>
          </cell>
        </row>
        <row r="73">
          <cell r="J73" t="str">
            <v>Goat milk hand and body lotion</v>
          </cell>
        </row>
        <row r="74">
          <cell r="J74" t="str">
            <v>Strawberry summer soap</v>
          </cell>
        </row>
        <row r="75">
          <cell r="J75" t="str">
            <v>Wildflower honey</v>
          </cell>
        </row>
        <row r="76">
          <cell r="J76" t="str">
            <v>Clover honey</v>
          </cell>
        </row>
        <row r="77">
          <cell r="J77" t="str">
            <v>Clover honey</v>
          </cell>
        </row>
        <row r="78">
          <cell r="J78" t="str">
            <v>Goat milk soap</v>
          </cell>
        </row>
        <row r="79">
          <cell r="J79" t="str">
            <v>Strawberry summer soap</v>
          </cell>
        </row>
        <row r="80">
          <cell r="J80" t="str">
            <v>Strawberry summer soap</v>
          </cell>
        </row>
        <row r="81">
          <cell r="J81" t="str">
            <v>Strawberry jam</v>
          </cell>
        </row>
        <row r="82">
          <cell r="J82" t="str">
            <v>Mixed berry jam</v>
          </cell>
        </row>
        <row r="83">
          <cell r="J83" t="str">
            <v>Clover honey</v>
          </cell>
        </row>
        <row r="84">
          <cell r="J84" t="str">
            <v>Wildflower honey</v>
          </cell>
        </row>
        <row r="85">
          <cell r="J85" t="str">
            <v>Oatmeal soap</v>
          </cell>
        </row>
        <row r="86">
          <cell r="J86" t="str">
            <v>Clover honey</v>
          </cell>
        </row>
        <row r="87">
          <cell r="J87" t="str">
            <v>Goat milk hand and body lotion</v>
          </cell>
        </row>
        <row r="88">
          <cell r="J88" t="str">
            <v>Oatmeal hand and body lotion</v>
          </cell>
        </row>
        <row r="89">
          <cell r="J89" t="str">
            <v>Wildflower honey</v>
          </cell>
        </row>
        <row r="90">
          <cell r="J90" t="str">
            <v>Rhubarb-strawberry compote</v>
          </cell>
        </row>
        <row r="91">
          <cell r="J91" t="str">
            <v>Wildflower honey</v>
          </cell>
        </row>
        <row r="92">
          <cell r="J92" t="str">
            <v>Buckwheat honey</v>
          </cell>
        </row>
        <row r="93">
          <cell r="J93" t="str">
            <v>Mixed berry jelly</v>
          </cell>
        </row>
        <row r="94">
          <cell r="J94" t="str">
            <v>Goat milk hand and body lotion</v>
          </cell>
        </row>
        <row r="95">
          <cell r="J95" t="str">
            <v>Wildflower honey</v>
          </cell>
        </row>
        <row r="96">
          <cell r="J96" t="str">
            <v>Goat milk and honey cream</v>
          </cell>
        </row>
        <row r="97">
          <cell r="J97" t="str">
            <v>Mixed berry jelly</v>
          </cell>
        </row>
        <row r="98">
          <cell r="J98" t="str">
            <v>Goat milk and honey cream</v>
          </cell>
        </row>
        <row r="99">
          <cell r="J99" t="str">
            <v>Strawberry summer soap</v>
          </cell>
        </row>
        <row r="100">
          <cell r="J100" t="str">
            <v>Goat milk hand and body lotion</v>
          </cell>
        </row>
        <row r="101">
          <cell r="J101" t="str">
            <v>Goat milk and honey cream</v>
          </cell>
        </row>
        <row r="102">
          <cell r="J102" t="str">
            <v>Goat milk soap</v>
          </cell>
        </row>
        <row r="103">
          <cell r="J103" t="str">
            <v>Strawberry jam</v>
          </cell>
        </row>
        <row r="104">
          <cell r="J104" t="str">
            <v>Goat milk and honey cream</v>
          </cell>
        </row>
        <row r="105">
          <cell r="J105" t="str">
            <v>Strawberry jam</v>
          </cell>
        </row>
        <row r="106">
          <cell r="J106" t="str">
            <v>Goat milk soap</v>
          </cell>
        </row>
        <row r="107">
          <cell r="J107" t="str">
            <v>Wildflower honey</v>
          </cell>
        </row>
        <row r="108">
          <cell r="J108" t="str">
            <v>Buckwheat honey</v>
          </cell>
        </row>
        <row r="109">
          <cell r="J109" t="str">
            <v>Mixed berry jam</v>
          </cell>
        </row>
        <row r="110">
          <cell r="J110" t="str">
            <v>Rhubarb-strawberry compote</v>
          </cell>
        </row>
        <row r="111">
          <cell r="J111" t="str">
            <v>Mixed berry jelly</v>
          </cell>
        </row>
        <row r="112">
          <cell r="J112" t="str">
            <v>Rhubarb-strawberry compote</v>
          </cell>
        </row>
        <row r="113">
          <cell r="J113" t="str">
            <v>Goat milk hand and body lotion</v>
          </cell>
        </row>
        <row r="114">
          <cell r="J114" t="str">
            <v>Mixed berry jam</v>
          </cell>
        </row>
        <row r="115">
          <cell r="J115" t="str">
            <v>Strawberry jam</v>
          </cell>
        </row>
        <row r="116">
          <cell r="J116" t="str">
            <v>Goat milk hand and body lotion</v>
          </cell>
        </row>
        <row r="117">
          <cell r="J117" t="str">
            <v>Goat milk soap</v>
          </cell>
        </row>
        <row r="118">
          <cell r="J118" t="str">
            <v>Rhubarb-strawberry compote</v>
          </cell>
        </row>
        <row r="119">
          <cell r="J119" t="str">
            <v>Mixed berry jam</v>
          </cell>
        </row>
        <row r="120">
          <cell r="J120" t="str">
            <v>Wildflower honey</v>
          </cell>
        </row>
        <row r="121">
          <cell r="J121" t="str">
            <v>Strawberry jam</v>
          </cell>
        </row>
        <row r="122">
          <cell r="J122" t="str">
            <v>Oatmeal soap</v>
          </cell>
        </row>
        <row r="123">
          <cell r="J123" t="str">
            <v>Goat milk soap</v>
          </cell>
        </row>
        <row r="124">
          <cell r="J124" t="str">
            <v>Clover honey</v>
          </cell>
        </row>
        <row r="125">
          <cell r="J125" t="str">
            <v>Buckwheat honey</v>
          </cell>
        </row>
        <row r="126">
          <cell r="J126" t="str">
            <v>Oatmeal hand and body lotion</v>
          </cell>
        </row>
        <row r="127">
          <cell r="J127" t="str">
            <v>Oatmeal hand and body lotion</v>
          </cell>
        </row>
        <row r="128">
          <cell r="J128" t="str">
            <v>Oatmeal hand and body lotion</v>
          </cell>
        </row>
        <row r="129">
          <cell r="J129" t="str">
            <v>Mixed berry jam</v>
          </cell>
        </row>
        <row r="130">
          <cell r="J130" t="str">
            <v>Buckwheat honey</v>
          </cell>
        </row>
        <row r="131">
          <cell r="J131" t="str">
            <v>Clover honey</v>
          </cell>
        </row>
        <row r="132">
          <cell r="J132" t="str">
            <v>Rhubarb-strawberry compote</v>
          </cell>
        </row>
        <row r="133">
          <cell r="J133" t="str">
            <v>Goat milk and honey cream</v>
          </cell>
        </row>
        <row r="134">
          <cell r="J134" t="str">
            <v>Clover honey</v>
          </cell>
        </row>
        <row r="135">
          <cell r="J135" t="str">
            <v>Strawberry summer soap</v>
          </cell>
        </row>
        <row r="136">
          <cell r="J136" t="str">
            <v>Strawberry jam</v>
          </cell>
        </row>
        <row r="137">
          <cell r="J137" t="str">
            <v>Oatmeal hand and body lotion</v>
          </cell>
        </row>
        <row r="138">
          <cell r="J138" t="str">
            <v>Goat milk and honey cream</v>
          </cell>
        </row>
        <row r="139">
          <cell r="J139" t="str">
            <v>Strawberry jam</v>
          </cell>
        </row>
        <row r="140">
          <cell r="J140" t="str">
            <v>Strawberry jam</v>
          </cell>
        </row>
        <row r="141">
          <cell r="J141" t="str">
            <v>Goat milk hand and body lotion</v>
          </cell>
        </row>
        <row r="142">
          <cell r="J142" t="str">
            <v>Strawberry summer soap</v>
          </cell>
        </row>
        <row r="143">
          <cell r="J143" t="str">
            <v>Buckwheat honey</v>
          </cell>
        </row>
        <row r="144">
          <cell r="J144" t="str">
            <v>Buckwheat honey</v>
          </cell>
        </row>
        <row r="145">
          <cell r="J145" t="str">
            <v>Oatmeal soap</v>
          </cell>
        </row>
        <row r="146">
          <cell r="J146" t="str">
            <v>Buckwheat honey</v>
          </cell>
        </row>
        <row r="147">
          <cell r="J147" t="str">
            <v>Oatmeal hand and body lotion</v>
          </cell>
        </row>
        <row r="148">
          <cell r="J148" t="str">
            <v>Goat milk soap</v>
          </cell>
        </row>
        <row r="149">
          <cell r="J149" t="str">
            <v>Strawberry jam</v>
          </cell>
        </row>
        <row r="150">
          <cell r="J150" t="str">
            <v>Buckwheat honey</v>
          </cell>
        </row>
        <row r="151">
          <cell r="J151" t="str">
            <v>Mixed berry jelly</v>
          </cell>
        </row>
        <row r="152">
          <cell r="J152" t="str">
            <v>Mixed berry jam</v>
          </cell>
        </row>
        <row r="153">
          <cell r="J153" t="str">
            <v>Wildflower honey</v>
          </cell>
        </row>
        <row r="154">
          <cell r="J154" t="str">
            <v>Goat milk hand and body lotion</v>
          </cell>
        </row>
        <row r="155">
          <cell r="J155" t="str">
            <v>Goat milk soap</v>
          </cell>
        </row>
        <row r="156">
          <cell r="J156" t="str">
            <v>Strawberry summer soap</v>
          </cell>
        </row>
        <row r="157">
          <cell r="J157" t="str">
            <v>Strawberry summer soap</v>
          </cell>
        </row>
        <row r="158">
          <cell r="J158" t="str">
            <v>Goat milk hand and body lotion</v>
          </cell>
        </row>
        <row r="159">
          <cell r="J159" t="str">
            <v>Oatmeal hand and body lotion</v>
          </cell>
        </row>
        <row r="160">
          <cell r="J160" t="str">
            <v>Strawberry summer soap</v>
          </cell>
        </row>
        <row r="161">
          <cell r="J161" t="str">
            <v>Oatmeal soap</v>
          </cell>
        </row>
        <row r="162">
          <cell r="J162" t="str">
            <v>Mixed berry jelly</v>
          </cell>
        </row>
        <row r="163">
          <cell r="J163" t="str">
            <v>Strawberry summer soap</v>
          </cell>
        </row>
        <row r="164">
          <cell r="J164" t="str">
            <v>Oatmeal soap</v>
          </cell>
        </row>
        <row r="165">
          <cell r="J165" t="str">
            <v>Rhubarb-strawberry compote</v>
          </cell>
        </row>
        <row r="166">
          <cell r="J166" t="str">
            <v>Clover honey</v>
          </cell>
        </row>
        <row r="167">
          <cell r="J167" t="str">
            <v>Mixed berry jelly</v>
          </cell>
        </row>
        <row r="168">
          <cell r="J168" t="str">
            <v>Buckwheat honey</v>
          </cell>
        </row>
        <row r="169">
          <cell r="J169" t="str">
            <v>Strawberry summer soap</v>
          </cell>
        </row>
        <row r="170">
          <cell r="J170" t="str">
            <v>Goat milk hand and body lotion</v>
          </cell>
        </row>
        <row r="171">
          <cell r="J171" t="str">
            <v>Oatmeal soap</v>
          </cell>
        </row>
        <row r="172">
          <cell r="J172" t="str">
            <v>Mixed berry jam</v>
          </cell>
        </row>
        <row r="173">
          <cell r="J173" t="str">
            <v>Clover honey</v>
          </cell>
        </row>
        <row r="174">
          <cell r="J174" t="str">
            <v>Strawberry summer soap</v>
          </cell>
        </row>
        <row r="175">
          <cell r="J175" t="str">
            <v>Clover honey</v>
          </cell>
        </row>
        <row r="176">
          <cell r="J176" t="str">
            <v>Strawberry summer soap</v>
          </cell>
        </row>
        <row r="177">
          <cell r="J177" t="str">
            <v>Mixed berry jelly</v>
          </cell>
        </row>
        <row r="178">
          <cell r="J178" t="str">
            <v>Wildflower honey</v>
          </cell>
        </row>
        <row r="179">
          <cell r="J179" t="str">
            <v>Strawberry jam</v>
          </cell>
        </row>
        <row r="180">
          <cell r="J180" t="str">
            <v>Mixed berry jam</v>
          </cell>
        </row>
        <row r="181">
          <cell r="J181" t="str">
            <v>Goat milk hand and body lotion</v>
          </cell>
        </row>
        <row r="182">
          <cell r="J182" t="str">
            <v>Strawberry jam</v>
          </cell>
        </row>
        <row r="183">
          <cell r="J183" t="str">
            <v>Mixed berry jam</v>
          </cell>
        </row>
        <row r="184">
          <cell r="J184" t="str">
            <v>Mixed berry jelly</v>
          </cell>
        </row>
        <row r="185">
          <cell r="J185" t="str">
            <v>Buckwheat honey</v>
          </cell>
        </row>
        <row r="186">
          <cell r="J186" t="str">
            <v>Wildflower honey</v>
          </cell>
        </row>
        <row r="187">
          <cell r="J187" t="str">
            <v>Goat milk and honey cream</v>
          </cell>
        </row>
        <row r="188">
          <cell r="J188" t="str">
            <v>Goat milk hand and body lotion</v>
          </cell>
        </row>
        <row r="189">
          <cell r="J189" t="str">
            <v>Mixed berry jelly</v>
          </cell>
        </row>
        <row r="190">
          <cell r="J190" t="str">
            <v>Goat milk hand and body lotion</v>
          </cell>
        </row>
        <row r="191">
          <cell r="J191" t="str">
            <v>Oatmeal soap</v>
          </cell>
        </row>
        <row r="192">
          <cell r="J192" t="str">
            <v>Goat milk soap</v>
          </cell>
        </row>
        <row r="193">
          <cell r="J193" t="str">
            <v>Goat milk and honey cream</v>
          </cell>
        </row>
        <row r="194">
          <cell r="J194" t="str">
            <v>Mixed berry jam</v>
          </cell>
        </row>
        <row r="195">
          <cell r="J195" t="str">
            <v>Goat milk soap</v>
          </cell>
        </row>
        <row r="196">
          <cell r="J196" t="str">
            <v>Mixed berry jam</v>
          </cell>
        </row>
        <row r="197">
          <cell r="J197" t="str">
            <v>Wildflower honey</v>
          </cell>
        </row>
        <row r="198">
          <cell r="J198" t="str">
            <v>Mixed berry jam</v>
          </cell>
        </row>
        <row r="199">
          <cell r="J199" t="str">
            <v>Mixed berry jelly</v>
          </cell>
        </row>
        <row r="200">
          <cell r="J200" t="str">
            <v>Rhubarb-strawberry compote</v>
          </cell>
        </row>
        <row r="201">
          <cell r="J201" t="str">
            <v>Oatmeal soap</v>
          </cell>
        </row>
        <row r="202">
          <cell r="J202" t="str">
            <v>Buckwheat honey</v>
          </cell>
        </row>
        <row r="203">
          <cell r="J203" t="str">
            <v>Rhubarb-strawberry compote</v>
          </cell>
        </row>
        <row r="204">
          <cell r="J204" t="str">
            <v>Goat milk soap</v>
          </cell>
        </row>
        <row r="205">
          <cell r="J205" t="str">
            <v>Oatmeal hand and body lotion</v>
          </cell>
        </row>
        <row r="206">
          <cell r="J206" t="str">
            <v>Goat milk soap</v>
          </cell>
        </row>
        <row r="207">
          <cell r="J207" t="str">
            <v>Goat milk soap</v>
          </cell>
        </row>
        <row r="208">
          <cell r="J208" t="str">
            <v>Mixed berry jam</v>
          </cell>
        </row>
        <row r="209">
          <cell r="J209" t="str">
            <v>Wildflower honey</v>
          </cell>
        </row>
        <row r="210">
          <cell r="J210" t="str">
            <v>Buckwheat honey</v>
          </cell>
        </row>
        <row r="211">
          <cell r="J211" t="str">
            <v>Strawberry jam</v>
          </cell>
        </row>
        <row r="212">
          <cell r="J212" t="str">
            <v>Buckwheat honey</v>
          </cell>
        </row>
        <row r="213">
          <cell r="J213" t="str">
            <v>Oatmeal hand and body lotion</v>
          </cell>
        </row>
        <row r="214">
          <cell r="J214" t="str">
            <v>Goat milk and honey cream</v>
          </cell>
        </row>
        <row r="215">
          <cell r="J215" t="str">
            <v>Rhubarb-strawberry compote</v>
          </cell>
        </row>
        <row r="216">
          <cell r="J216" t="str">
            <v>Mixed berry jelly</v>
          </cell>
        </row>
        <row r="217">
          <cell r="J217" t="str">
            <v>Oatmeal soap</v>
          </cell>
        </row>
        <row r="218">
          <cell r="J218" t="str">
            <v>Mixed berry jelly</v>
          </cell>
        </row>
        <row r="219">
          <cell r="J219" t="str">
            <v>Wildflower honey</v>
          </cell>
        </row>
        <row r="220">
          <cell r="J220" t="str">
            <v>Clover honey</v>
          </cell>
        </row>
        <row r="221">
          <cell r="J221" t="str">
            <v>Rhubarb-strawberry compote</v>
          </cell>
        </row>
        <row r="222">
          <cell r="J222" t="str">
            <v>Mixed berry jam</v>
          </cell>
        </row>
        <row r="223">
          <cell r="J223" t="str">
            <v>Goat milk hand and body lotion</v>
          </cell>
        </row>
        <row r="224">
          <cell r="J224" t="str">
            <v>Clover honey</v>
          </cell>
        </row>
        <row r="225">
          <cell r="J225" t="str">
            <v>Wildflower honey</v>
          </cell>
        </row>
        <row r="226">
          <cell r="J226" t="str">
            <v>Oatmeal soap</v>
          </cell>
        </row>
        <row r="227">
          <cell r="J227" t="str">
            <v>Strawberry summer soap</v>
          </cell>
        </row>
        <row r="228">
          <cell r="J228" t="str">
            <v>Wildflower honey</v>
          </cell>
        </row>
        <row r="229">
          <cell r="J229" t="str">
            <v>Oatmeal hand and body lotion</v>
          </cell>
        </row>
        <row r="230">
          <cell r="J230" t="str">
            <v>Buckwheat honey</v>
          </cell>
        </row>
        <row r="231">
          <cell r="J231" t="str">
            <v>Buckwheat honey</v>
          </cell>
        </row>
        <row r="232">
          <cell r="J232" t="str">
            <v>Oatmeal soap</v>
          </cell>
        </row>
        <row r="233">
          <cell r="J233" t="str">
            <v>Goat milk hand and body lotion</v>
          </cell>
        </row>
        <row r="234">
          <cell r="J234" t="str">
            <v>Strawberry summer soap</v>
          </cell>
        </row>
        <row r="235">
          <cell r="J235" t="str">
            <v>Strawberry summer soap</v>
          </cell>
        </row>
        <row r="236">
          <cell r="J236" t="str">
            <v>Mixed berry jam</v>
          </cell>
        </row>
        <row r="237">
          <cell r="J237" t="str">
            <v>Clover honey</v>
          </cell>
        </row>
        <row r="238">
          <cell r="J238" t="str">
            <v>Goat milk soap</v>
          </cell>
        </row>
        <row r="239">
          <cell r="J239" t="str">
            <v>Goat milk soap</v>
          </cell>
        </row>
        <row r="240">
          <cell r="J240" t="str">
            <v>Mixed berry jelly</v>
          </cell>
        </row>
        <row r="241">
          <cell r="J241" t="str">
            <v>Clover honey</v>
          </cell>
        </row>
        <row r="242">
          <cell r="J242" t="str">
            <v>Mixed berry jelly</v>
          </cell>
        </row>
        <row r="243">
          <cell r="J243" t="str">
            <v>Wildflower honey</v>
          </cell>
        </row>
        <row r="244">
          <cell r="J244" t="str">
            <v>Oatmeal soap</v>
          </cell>
        </row>
        <row r="245">
          <cell r="J245" t="str">
            <v>Mixed berry jelly</v>
          </cell>
        </row>
        <row r="246">
          <cell r="J246" t="str">
            <v>Strawberry summer soap</v>
          </cell>
        </row>
        <row r="247">
          <cell r="J247" t="str">
            <v>Strawberry jam</v>
          </cell>
        </row>
        <row r="248">
          <cell r="J248" t="str">
            <v>Goat milk hand and body lotion</v>
          </cell>
        </row>
        <row r="249">
          <cell r="J249" t="str">
            <v>Goat milk hand and body lotion</v>
          </cell>
        </row>
        <row r="250">
          <cell r="J250" t="str">
            <v>Buckwheat honey</v>
          </cell>
        </row>
        <row r="251">
          <cell r="J251" t="str">
            <v>Goat milk hand and body lotion</v>
          </cell>
        </row>
        <row r="252">
          <cell r="J252" t="str">
            <v>Oatmeal hand and body lotion</v>
          </cell>
        </row>
        <row r="253">
          <cell r="J253" t="str">
            <v>Buckwheat honey</v>
          </cell>
        </row>
        <row r="254">
          <cell r="J254" t="str">
            <v>Wildflower honey</v>
          </cell>
        </row>
        <row r="255">
          <cell r="J255" t="str">
            <v>Oatmeal soap</v>
          </cell>
        </row>
        <row r="256">
          <cell r="J256" t="str">
            <v>Goat milk soap</v>
          </cell>
        </row>
        <row r="257">
          <cell r="J257" t="str">
            <v>Strawberry summer soap</v>
          </cell>
        </row>
        <row r="258">
          <cell r="J258" t="str">
            <v>Wildflower honey</v>
          </cell>
        </row>
        <row r="259">
          <cell r="J259" t="str">
            <v>Clover honey</v>
          </cell>
        </row>
        <row r="260">
          <cell r="J260" t="str">
            <v>Clover honey</v>
          </cell>
        </row>
        <row r="261">
          <cell r="J261" t="str">
            <v>Buckwheat honey</v>
          </cell>
        </row>
        <row r="262">
          <cell r="J262" t="str">
            <v>Wildflower honey</v>
          </cell>
        </row>
        <row r="263">
          <cell r="J263" t="str">
            <v>Goat milk hand and body lotion</v>
          </cell>
        </row>
        <row r="264">
          <cell r="J264" t="str">
            <v>Mixed berry jelly</v>
          </cell>
        </row>
        <row r="265">
          <cell r="J265" t="str">
            <v>Oatmeal soap</v>
          </cell>
        </row>
        <row r="266">
          <cell r="J266" t="str">
            <v>Strawberry jam</v>
          </cell>
        </row>
        <row r="267">
          <cell r="J267" t="str">
            <v>Wildflower honey</v>
          </cell>
        </row>
        <row r="268">
          <cell r="J268" t="str">
            <v>Clover honey</v>
          </cell>
        </row>
        <row r="269">
          <cell r="J269" t="str">
            <v>Goat milk and honey cream</v>
          </cell>
        </row>
        <row r="270">
          <cell r="J270" t="str">
            <v>Mixed berry jelly</v>
          </cell>
        </row>
        <row r="271">
          <cell r="J271" t="str">
            <v>Mixed berry jelly</v>
          </cell>
        </row>
        <row r="272">
          <cell r="J272" t="str">
            <v>Wildflower honey</v>
          </cell>
        </row>
        <row r="273">
          <cell r="J273" t="str">
            <v>Mixed berry jam</v>
          </cell>
        </row>
        <row r="274">
          <cell r="J274" t="str">
            <v>Strawberry jam</v>
          </cell>
        </row>
        <row r="275">
          <cell r="J275" t="str">
            <v>Wildflower honey</v>
          </cell>
        </row>
        <row r="276">
          <cell r="J276" t="str">
            <v>Goat milk soap</v>
          </cell>
        </row>
        <row r="277">
          <cell r="J277" t="str">
            <v>Goat milk and honey cream</v>
          </cell>
        </row>
        <row r="278">
          <cell r="J278" t="str">
            <v>Strawberry summer soap</v>
          </cell>
        </row>
        <row r="279">
          <cell r="J279" t="str">
            <v>Goat milk and honey cream</v>
          </cell>
        </row>
        <row r="280">
          <cell r="J280" t="str">
            <v>Oatmeal soap</v>
          </cell>
        </row>
        <row r="281">
          <cell r="J281" t="str">
            <v>Goat milk and honey cream</v>
          </cell>
        </row>
        <row r="282">
          <cell r="J282" t="str">
            <v>Mixed berry jam</v>
          </cell>
        </row>
        <row r="283">
          <cell r="J283" t="str">
            <v>Strawberry jam</v>
          </cell>
        </row>
        <row r="284">
          <cell r="J284" t="str">
            <v>Oatmeal hand and body lotion</v>
          </cell>
        </row>
        <row r="285">
          <cell r="J285" t="str">
            <v>Goat milk soap</v>
          </cell>
        </row>
        <row r="286">
          <cell r="J286" t="str">
            <v>Strawberry summer soap</v>
          </cell>
        </row>
        <row r="287">
          <cell r="J287" t="str">
            <v>Rhubarb-strawberry compote</v>
          </cell>
        </row>
        <row r="288">
          <cell r="J288" t="str">
            <v>Strawberry jam</v>
          </cell>
        </row>
        <row r="289">
          <cell r="J289" t="str">
            <v>Rhubarb-strawberry compote</v>
          </cell>
        </row>
        <row r="290">
          <cell r="J290" t="str">
            <v>Oatmeal hand and body lotion</v>
          </cell>
        </row>
        <row r="291">
          <cell r="J291" t="str">
            <v>Oatmeal hand and body lotion</v>
          </cell>
        </row>
        <row r="292">
          <cell r="J292" t="str">
            <v>Rhubarb-strawberry compote</v>
          </cell>
        </row>
        <row r="293">
          <cell r="J293" t="str">
            <v>Clover honey</v>
          </cell>
        </row>
        <row r="294">
          <cell r="J294" t="str">
            <v>Goat milk soap</v>
          </cell>
        </row>
        <row r="295">
          <cell r="J295" t="str">
            <v>Goat milk and honey cream</v>
          </cell>
        </row>
        <row r="296">
          <cell r="J296" t="str">
            <v>Rhubarb-strawberry compote</v>
          </cell>
        </row>
        <row r="297">
          <cell r="J297" t="str">
            <v>Mixed berry jam</v>
          </cell>
        </row>
        <row r="298">
          <cell r="J298" t="str">
            <v>Buckwheat honey</v>
          </cell>
        </row>
        <row r="299">
          <cell r="J299" t="str">
            <v>Goat milk hand and body lotion</v>
          </cell>
        </row>
        <row r="300">
          <cell r="J300" t="str">
            <v>Rhubarb-strawberry compote</v>
          </cell>
        </row>
        <row r="301">
          <cell r="J301" t="str">
            <v>Goat milk and honey cream</v>
          </cell>
        </row>
        <row r="302">
          <cell r="J302" t="str">
            <v>Strawberry jam</v>
          </cell>
        </row>
        <row r="303">
          <cell r="J303" t="str">
            <v>Goat milk and honey cream</v>
          </cell>
        </row>
        <row r="304">
          <cell r="J304" t="str">
            <v>Goat milk soap</v>
          </cell>
        </row>
        <row r="305">
          <cell r="J305" t="str">
            <v>Goat milk hand and body lotion</v>
          </cell>
        </row>
        <row r="306">
          <cell r="J306" t="str">
            <v>Mixed berry jelly</v>
          </cell>
        </row>
        <row r="307">
          <cell r="J307" t="str">
            <v>Oatmeal hand and body lotion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Alger</v>
          </cell>
          <cell r="C2" t="str">
            <v>Buckwheat honey</v>
          </cell>
        </row>
        <row r="3">
          <cell r="A3" t="str">
            <v>Avon</v>
          </cell>
          <cell r="C3" t="str">
            <v>Clover honey</v>
          </cell>
        </row>
        <row r="4">
          <cell r="A4" t="str">
            <v>Baker Heights</v>
          </cell>
          <cell r="C4" t="str">
            <v>Goat milk and honey cream</v>
          </cell>
        </row>
        <row r="5">
          <cell r="A5" t="str">
            <v>Bay View</v>
          </cell>
          <cell r="C5" t="str">
            <v>Goat milk hand and body lotion</v>
          </cell>
        </row>
        <row r="6">
          <cell r="A6" t="str">
            <v>Bellingham</v>
          </cell>
          <cell r="C6" t="str">
            <v>Goat milk soap</v>
          </cell>
        </row>
        <row r="7">
          <cell r="A7" t="str">
            <v>Big Lake</v>
          </cell>
          <cell r="C7" t="str">
            <v>Mixed berry jam</v>
          </cell>
        </row>
        <row r="8">
          <cell r="A8" t="str">
            <v>Bow</v>
          </cell>
          <cell r="C8" t="str">
            <v>Mixed berry jelly</v>
          </cell>
        </row>
        <row r="9">
          <cell r="A9" t="str">
            <v>Burlington</v>
          </cell>
          <cell r="C9" t="str">
            <v>Oatmeal hand and body lotion</v>
          </cell>
        </row>
        <row r="10">
          <cell r="A10" t="str">
            <v>Conway</v>
          </cell>
          <cell r="C10" t="str">
            <v>Oatmeal soap</v>
          </cell>
        </row>
        <row r="11">
          <cell r="A11" t="str">
            <v>Edison</v>
          </cell>
          <cell r="C11" t="str">
            <v>Rhubarb-strawberry compote</v>
          </cell>
        </row>
        <row r="12">
          <cell r="A12" t="str">
            <v>La Conner</v>
          </cell>
          <cell r="C12" t="str">
            <v>Strawberry jam</v>
          </cell>
        </row>
        <row r="13">
          <cell r="A13" t="str">
            <v>Lake Ketchum</v>
          </cell>
          <cell r="C13" t="str">
            <v>Strawberry summer soap</v>
          </cell>
        </row>
        <row r="14">
          <cell r="A14" t="str">
            <v>Lyman</v>
          </cell>
          <cell r="C14" t="str">
            <v>Wildflower honey</v>
          </cell>
        </row>
        <row r="15">
          <cell r="A15" t="str">
            <v>Mount Vernon</v>
          </cell>
        </row>
        <row r="16">
          <cell r="A16" t="str">
            <v>Samish</v>
          </cell>
        </row>
        <row r="17">
          <cell r="A17" t="str">
            <v>Sedro-Woolley</v>
          </cell>
        </row>
        <row r="18">
          <cell r="A18" t="str">
            <v>Whitney</v>
          </cell>
        </row>
        <row r="19">
          <cell r="A19" t="str">
            <v>Wickersham</v>
          </cell>
        </row>
      </sheetData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ustomers"/>
      <sheetName val="Products"/>
      <sheetName val="Sales"/>
      <sheetName val="List data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alespeople"/>
      <sheetName val="Sales"/>
      <sheetName val="Products"/>
      <sheetName val="Honey Orders"/>
      <sheetName val="Honey Sold"/>
      <sheetName val="Customers Report"/>
      <sheetName val="Customer Counties"/>
      <sheetName val="Sales Report"/>
      <sheetName val="List data"/>
      <sheetName val="Baker Heights Sales"/>
      <sheetName val="Sales by Month"/>
      <sheetName val="Sales by Day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A14659-441A-4910-A963-B21681ACCE93}" name="SalesTable" displayName="SalesTable" ref="A1:Q307" totalsRowShown="0" headerRowDxfId="13" headerRowBorderDxfId="12">
  <autoFilter ref="A1:Q307" xr:uid="{CDA14659-441A-4910-A963-B21681ACCE93}"/>
  <tableColumns count="17">
    <tableColumn id="1" xr3:uid="{DBA8C920-B541-4057-8AB9-52D95D6F811F}" name="Sale ID"/>
    <tableColumn id="2" xr3:uid="{3C72744F-55D7-4251-AE5C-5BA7DF54E9B3}" name="Sale date" dataDxfId="11"/>
    <tableColumn id="3" xr3:uid="{A375806A-4DF0-45AB-94B5-3553904ABE22}" name="Month" dataDxfId="0">
      <calculatedColumnFormula>B2</calculatedColumnFormula>
    </tableColumn>
    <tableColumn id="4" xr3:uid="{EDDD1E11-C3E4-4D11-B347-DC932F0F47AE}" name="Salesperson ID"/>
    <tableColumn id="5" xr3:uid="{367CD557-C70C-4EAC-B21F-9766E74FF9E1}" name="Salesperson name" dataDxfId="2">
      <calculatedColumnFormula>VLOOKUP(SalesTable[[#This Row],[Salesperson ID]],Salespeople!$A$2:$B$16,2,0)</calculatedColumnFormula>
    </tableColumn>
    <tableColumn id="6" xr3:uid="{9B9FA886-8E16-4C3C-BE00-60414D8D747F}" name="Customer number"/>
    <tableColumn id="7" xr3:uid="{DB463D84-A2D2-4219-943E-23CADCA8B3D2}" name="Customer full name"/>
    <tableColumn id="8" xr3:uid="{5E5E0FF9-A464-4FCF-B146-C2F24CCB4B51}" name="City"/>
    <tableColumn id="9" xr3:uid="{1EE8344A-6FDB-451C-910C-08AB19045A80}" name="Product ID"/>
    <tableColumn id="10" xr3:uid="{0ECC1215-7CD6-4503-9D47-C60850007726}" name="Product name" dataDxfId="1">
      <calculatedColumnFormula>INDEX(Products!$A$2:$C$14,MATCH(SalesTable[[#This Row],[Product ID]],Products!$C$2:$C$14,0),2)</calculatedColumnFormula>
    </tableColumn>
    <tableColumn id="11" xr3:uid="{69DAA75F-1A0A-4B21-BEDF-F67C09373A8D}" name="Price" dataDxfId="10"/>
    <tableColumn id="12" xr3:uid="{1D69EDB4-70DB-470E-8470-782F0229A7B2}" name="Quantity" dataDxfId="9"/>
    <tableColumn id="13" xr3:uid="{8A731670-3DE5-49E5-A5CF-FA6CB9C58961}" name="Subtotal" dataDxfId="8">
      <calculatedColumnFormula>K2*L2</calculatedColumnFormula>
    </tableColumn>
    <tableColumn id="14" xr3:uid="{B83BD49E-879A-428E-A8CD-D772CC438EB3}" name="Discount number"/>
    <tableColumn id="15" xr3:uid="{ABCC497F-4B80-4E6A-BF4E-500D8F02F1EA}" name="Discount code" dataDxfId="7"/>
    <tableColumn id="16" xr3:uid="{85E29758-8633-4893-B607-EAB18727D77D}" name="Discount percentage" dataDxfId="6"/>
    <tableColumn id="17" xr3:uid="{37C280C8-4EAF-4362-B2FA-7D57B6D0C577}" name="Order total" dataDxfId="5">
      <calculatedColumnFormula>M2-M2*P2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BA3FDC-3607-43EA-A02F-FF316E069D99}" name="Customers" displayName="Customers" ref="A1:M146">
  <autoFilter ref="A1:M146" xr:uid="{65BA3FDC-3607-43EA-A02F-FF316E069D99}"/>
  <tableColumns count="13">
    <tableColumn id="1" xr3:uid="{73A0A98B-38F0-4B49-A560-BDEEC30B853B}" name="Customer number" totalsRowLabel="Total"/>
    <tableColumn id="2" xr3:uid="{327B523A-E2C3-4193-A82B-3BC6DAF3D6CE}" name="First name"/>
    <tableColumn id="3" xr3:uid="{BC021DDB-7C19-4E6C-8347-F021A07CF42B}" name="Last name"/>
    <tableColumn id="16" xr3:uid="{7F583474-1D9E-4A45-A560-B251880DBB4E}" name="Full name">
      <calculatedColumnFormula>Customers[[#This Row],[First name]]&amp;" "&amp;Customers[[#This Row],[Last name]]</calculatedColumnFormula>
    </tableColumn>
    <tableColumn id="4" xr3:uid="{01EFFADB-BFE7-44BA-BDBC-AE1CEFF28D8C}" name="Address"/>
    <tableColumn id="5" xr3:uid="{64C4404C-8BD9-464C-A38E-73206B63D7F3}" name="City"/>
    <tableColumn id="8" xr3:uid="{E68197BA-478E-4F0B-9424-065E014E4449}" name="County"/>
    <tableColumn id="6" xr3:uid="{D87A706C-6447-478A-A4C4-63E4A2F78380}" name="State or region"/>
    <tableColumn id="7" xr3:uid="{5F7CF1A3-0D7F-4D5B-8B5C-92E8C84A3035}" name="Postal code"/>
    <tableColumn id="12" xr3:uid="{75A6EB5F-61B0-4142-A098-DCE00B0768DC}" name="Phone"/>
    <tableColumn id="13" xr3:uid="{7775EC7A-0544-4775-8E41-5DE3B39889EF}" name="Farm Box size"/>
    <tableColumn id="14" xr3:uid="{3A0B06B1-0B3E-46CC-8739-AA0F29C8074F}" name="Frequency"/>
    <tableColumn id="15" xr3:uid="{484548AB-45C4-4963-B5BC-8908E97FB8A2}" name="Allergies" totalsRowFunction="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C44B9-8FD8-477B-BD70-EAAAE9A21666}">
  <dimension ref="A1:C16"/>
  <sheetViews>
    <sheetView zoomScaleNormal="100" workbookViewId="0">
      <selection activeCell="A7" sqref="A7"/>
    </sheetView>
  </sheetViews>
  <sheetFormatPr baseColWidth="10" defaultColWidth="9.06640625" defaultRowHeight="14.25" x14ac:dyDescent="0.45"/>
  <cols>
    <col min="1" max="1" width="16.19921875" bestFit="1" customWidth="1"/>
    <col min="2" max="2" width="23.6640625" bestFit="1" customWidth="1"/>
    <col min="3" max="3" width="22" customWidth="1"/>
    <col min="4" max="4" width="15.33203125" bestFit="1" customWidth="1"/>
    <col min="5" max="5" width="23" customWidth="1"/>
    <col min="6" max="6" width="15.33203125" customWidth="1"/>
    <col min="9" max="9" width="13" customWidth="1"/>
  </cols>
  <sheetData>
    <row r="1" spans="1:3" ht="17.25" thickBot="1" x14ac:dyDescent="0.55000000000000004">
      <c r="A1" s="1" t="s">
        <v>0</v>
      </c>
      <c r="B1" s="1" t="s">
        <v>1</v>
      </c>
      <c r="C1" s="1" t="s">
        <v>2</v>
      </c>
    </row>
    <row r="2" spans="1:3" ht="14.65" thickTop="1" x14ac:dyDescent="0.45">
      <c r="A2" s="43">
        <v>8064</v>
      </c>
      <c r="B2" t="s">
        <v>674</v>
      </c>
      <c r="C2" t="s">
        <v>3</v>
      </c>
    </row>
    <row r="3" spans="1:3" x14ac:dyDescent="0.45">
      <c r="A3" s="43">
        <v>6678</v>
      </c>
      <c r="B3" t="s">
        <v>675</v>
      </c>
      <c r="C3" t="s">
        <v>4</v>
      </c>
    </row>
    <row r="4" spans="1:3" x14ac:dyDescent="0.45">
      <c r="A4" s="43">
        <v>5454</v>
      </c>
      <c r="B4" t="s">
        <v>676</v>
      </c>
      <c r="C4" t="s">
        <v>5</v>
      </c>
    </row>
    <row r="5" spans="1:3" x14ac:dyDescent="0.45">
      <c r="A5" s="43">
        <v>5382</v>
      </c>
      <c r="B5" t="s">
        <v>677</v>
      </c>
      <c r="C5" t="s">
        <v>6</v>
      </c>
    </row>
    <row r="6" spans="1:3" x14ac:dyDescent="0.45">
      <c r="A6" s="43">
        <v>6892</v>
      </c>
      <c r="B6" t="s">
        <v>678</v>
      </c>
      <c r="C6" t="s">
        <v>7</v>
      </c>
    </row>
    <row r="7" spans="1:3" x14ac:dyDescent="0.45">
      <c r="A7" s="43">
        <v>6464</v>
      </c>
      <c r="B7" t="s">
        <v>679</v>
      </c>
      <c r="C7" t="s">
        <v>8</v>
      </c>
    </row>
    <row r="8" spans="1:3" x14ac:dyDescent="0.45">
      <c r="A8" s="43">
        <v>6250</v>
      </c>
      <c r="B8" t="s">
        <v>680</v>
      </c>
      <c r="C8" t="s">
        <v>9</v>
      </c>
    </row>
    <row r="9" spans="1:3" x14ac:dyDescent="0.45">
      <c r="A9" s="43">
        <v>1384</v>
      </c>
      <c r="B9" t="s">
        <v>681</v>
      </c>
      <c r="C9" t="s">
        <v>10</v>
      </c>
    </row>
    <row r="10" spans="1:3" x14ac:dyDescent="0.45">
      <c r="A10" s="43">
        <v>6571</v>
      </c>
      <c r="B10" t="s">
        <v>682</v>
      </c>
      <c r="C10" t="s">
        <v>11</v>
      </c>
    </row>
    <row r="11" spans="1:3" x14ac:dyDescent="0.45">
      <c r="A11" s="43">
        <v>5418</v>
      </c>
      <c r="B11" t="s">
        <v>683</v>
      </c>
      <c r="C11" t="s">
        <v>12</v>
      </c>
    </row>
    <row r="12" spans="1:3" x14ac:dyDescent="0.45">
      <c r="A12" s="43">
        <v>6357</v>
      </c>
      <c r="B12" t="s">
        <v>684</v>
      </c>
      <c r="C12" t="s">
        <v>13</v>
      </c>
    </row>
    <row r="13" spans="1:3" x14ac:dyDescent="0.45">
      <c r="A13" s="43">
        <v>6143</v>
      </c>
      <c r="B13" t="s">
        <v>685</v>
      </c>
      <c r="C13" t="s">
        <v>14</v>
      </c>
    </row>
    <row r="14" spans="1:3" x14ac:dyDescent="0.45">
      <c r="A14" s="43">
        <v>5400</v>
      </c>
      <c r="B14" t="s">
        <v>686</v>
      </c>
      <c r="C14" t="s">
        <v>15</v>
      </c>
    </row>
    <row r="15" spans="1:3" x14ac:dyDescent="0.45">
      <c r="A15" s="43">
        <v>4350</v>
      </c>
      <c r="B15" t="s">
        <v>687</v>
      </c>
      <c r="C15" t="s">
        <v>16</v>
      </c>
    </row>
    <row r="16" spans="1:3" x14ac:dyDescent="0.45">
      <c r="A16" s="43">
        <v>5346</v>
      </c>
      <c r="B16" t="s">
        <v>688</v>
      </c>
      <c r="C16" t="s">
        <v>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B9016-8A9D-47DD-BA36-C785894F06C2}">
  <dimension ref="A1:Q731"/>
  <sheetViews>
    <sheetView tabSelected="1" topLeftCell="G1" zoomScale="127" workbookViewId="0">
      <pane ySplit="1" topLeftCell="A371" activePane="bottomLeft" state="frozen"/>
      <selection pane="bottomLeft" activeCell="H380" sqref="H380"/>
    </sheetView>
  </sheetViews>
  <sheetFormatPr baseColWidth="10" defaultColWidth="9.06640625" defaultRowHeight="14.25" x14ac:dyDescent="0.45"/>
  <cols>
    <col min="1" max="1" width="9.53125" customWidth="1"/>
    <col min="2" max="2" width="15.53125" customWidth="1"/>
    <col min="3" max="3" width="13.6640625" style="12" customWidth="1"/>
    <col min="4" max="4" width="17.33203125" customWidth="1"/>
    <col min="5" max="5" width="20.796875" customWidth="1"/>
    <col min="6" max="6" width="20.6640625" customWidth="1"/>
    <col min="7" max="7" width="22.46484375" customWidth="1"/>
    <col min="8" max="8" width="20.796875" customWidth="1"/>
    <col min="9" max="9" width="13.33203125" customWidth="1"/>
    <col min="10" max="10" width="27.33203125" bestFit="1" customWidth="1"/>
    <col min="11" max="11" width="20.796875" customWidth="1"/>
    <col min="12" max="12" width="12.46484375" customWidth="1"/>
    <col min="13" max="13" width="13.33203125" bestFit="1" customWidth="1"/>
    <col min="14" max="14" width="19.796875" customWidth="1"/>
    <col min="15" max="15" width="16.796875" customWidth="1"/>
    <col min="16" max="16" width="23.33203125" customWidth="1"/>
    <col min="17" max="17" width="13.796875" customWidth="1"/>
    <col min="18" max="18" width="15.6640625" customWidth="1"/>
  </cols>
  <sheetData>
    <row r="1" spans="1:17" s="13" customFormat="1" ht="23.55" customHeight="1" x14ac:dyDescent="0.45">
      <c r="A1" s="13" t="s">
        <v>18</v>
      </c>
      <c r="B1" s="13" t="s">
        <v>19</v>
      </c>
      <c r="C1" s="13" t="s">
        <v>20</v>
      </c>
      <c r="D1" s="13" t="s">
        <v>0</v>
      </c>
      <c r="E1" s="13" t="s">
        <v>21</v>
      </c>
      <c r="F1" s="13" t="s">
        <v>22</v>
      </c>
      <c r="G1" s="13" t="s">
        <v>23</v>
      </c>
      <c r="H1" s="13" t="s">
        <v>24</v>
      </c>
      <c r="I1" s="13" t="s">
        <v>25</v>
      </c>
      <c r="J1" s="13" t="s">
        <v>26</v>
      </c>
      <c r="K1" s="13" t="s">
        <v>27</v>
      </c>
      <c r="L1" s="13" t="s">
        <v>28</v>
      </c>
      <c r="M1" s="13" t="s">
        <v>29</v>
      </c>
      <c r="N1" s="13" t="s">
        <v>30</v>
      </c>
      <c r="O1" s="13" t="s">
        <v>31</v>
      </c>
      <c r="P1" s="13" t="s">
        <v>32</v>
      </c>
      <c r="Q1" s="13" t="s">
        <v>33</v>
      </c>
    </row>
    <row r="2" spans="1:17" x14ac:dyDescent="0.45">
      <c r="A2">
        <v>1</v>
      </c>
      <c r="B2" s="3">
        <v>44713</v>
      </c>
      <c r="C2" s="44">
        <f>B2</f>
        <v>44713</v>
      </c>
      <c r="D2">
        <v>6892</v>
      </c>
      <c r="E2" t="str">
        <f>VLOOKUP(SalesTable[[#This Row],[Salesperson ID]],Salespeople!$A$2:$B$16,2,0)</f>
        <v>Fahd Sleiman</v>
      </c>
      <c r="F2">
        <v>12265</v>
      </c>
      <c r="G2" t="s">
        <v>34</v>
      </c>
      <c r="H2" t="s">
        <v>35</v>
      </c>
      <c r="I2" t="s">
        <v>36</v>
      </c>
      <c r="J2" t="str">
        <f>INDEX(Products!$A$2:$C$14,MATCH(SalesTable[[#This Row],[Product ID]],Products!$C$2:$C$14,0),2)</f>
        <v>Goat milk soap</v>
      </c>
      <c r="K2" s="4">
        <v>5.95</v>
      </c>
      <c r="L2" s="8"/>
      <c r="M2" s="10">
        <f t="shared" ref="M2:M65" si="0">K2*L2</f>
        <v>0</v>
      </c>
      <c r="N2">
        <v>3</v>
      </c>
      <c r="O2" s="3"/>
      <c r="P2" s="2"/>
      <c r="Q2" s="10">
        <f t="shared" ref="Q2:Q65" si="1">M2-M2*P2</f>
        <v>0</v>
      </c>
    </row>
    <row r="3" spans="1:17" x14ac:dyDescent="0.45">
      <c r="A3">
        <v>2</v>
      </c>
      <c r="B3" s="3">
        <v>44714</v>
      </c>
      <c r="C3" s="44">
        <f t="shared" ref="C3:C66" si="2">B3</f>
        <v>44714</v>
      </c>
      <c r="D3">
        <v>6464</v>
      </c>
      <c r="E3" t="str">
        <f>VLOOKUP(SalesTable[[#This Row],[Salesperson ID]],Salespeople!$A$2:$B$16,2,0)</f>
        <v>Hamal Azzi</v>
      </c>
      <c r="F3">
        <v>27538</v>
      </c>
      <c r="G3" t="s">
        <v>37</v>
      </c>
      <c r="H3" t="s">
        <v>38</v>
      </c>
      <c r="I3" t="s">
        <v>39</v>
      </c>
      <c r="J3" t="str">
        <f>INDEX(Products!$A$2:$C$14,MATCH(SalesTable[[#This Row],[Product ID]],Products!$C$2:$C$14,0),2)</f>
        <v>Rhubarb-strawberry compote</v>
      </c>
      <c r="K3" s="4">
        <v>8</v>
      </c>
      <c r="L3" s="8"/>
      <c r="M3" s="10">
        <f t="shared" si="0"/>
        <v>0</v>
      </c>
      <c r="N3">
        <v>1</v>
      </c>
      <c r="O3" s="3"/>
      <c r="P3" s="2"/>
      <c r="Q3" s="10">
        <f t="shared" si="1"/>
        <v>0</v>
      </c>
    </row>
    <row r="4" spans="1:17" x14ac:dyDescent="0.45">
      <c r="A4">
        <v>3</v>
      </c>
      <c r="B4" s="3">
        <v>44714</v>
      </c>
      <c r="C4" s="44">
        <f t="shared" si="2"/>
        <v>44714</v>
      </c>
      <c r="D4">
        <v>1384</v>
      </c>
      <c r="E4" t="str">
        <f>VLOOKUP(SalesTable[[#This Row],[Salesperson ID]],Salespeople!$A$2:$B$16,2,0)</f>
        <v>Igor Almeida</v>
      </c>
      <c r="F4">
        <v>16736</v>
      </c>
      <c r="G4" t="s">
        <v>40</v>
      </c>
      <c r="H4" t="s">
        <v>41</v>
      </c>
      <c r="I4" t="s">
        <v>36</v>
      </c>
      <c r="J4" t="str">
        <f>INDEX(Products!$A$2:$C$14,MATCH(SalesTable[[#This Row],[Product ID]],Products!$C$2:$C$14,0),2)</f>
        <v>Goat milk soap</v>
      </c>
      <c r="K4" s="4">
        <v>5.95</v>
      </c>
      <c r="L4" s="8"/>
      <c r="M4" s="10">
        <f t="shared" si="0"/>
        <v>0</v>
      </c>
      <c r="N4">
        <v>5</v>
      </c>
      <c r="O4" s="3"/>
      <c r="P4" s="2"/>
      <c r="Q4" s="10">
        <f t="shared" si="1"/>
        <v>0</v>
      </c>
    </row>
    <row r="5" spans="1:17" x14ac:dyDescent="0.45">
      <c r="A5">
        <v>4</v>
      </c>
      <c r="B5" s="3">
        <v>44714</v>
      </c>
      <c r="C5" s="44">
        <f t="shared" si="2"/>
        <v>44714</v>
      </c>
      <c r="D5">
        <v>6678</v>
      </c>
      <c r="E5" t="str">
        <f>VLOOKUP(SalesTable[[#This Row],[Salesperson ID]],Salespeople!$A$2:$B$16,2,0)</f>
        <v>Amalia Ribeiro</v>
      </c>
      <c r="F5">
        <v>11124</v>
      </c>
      <c r="G5" t="s">
        <v>42</v>
      </c>
      <c r="H5" t="s">
        <v>43</v>
      </c>
      <c r="I5" t="s">
        <v>44</v>
      </c>
      <c r="J5" t="str">
        <f>INDEX(Products!$A$2:$C$14,MATCH(SalesTable[[#This Row],[Product ID]],Products!$C$2:$C$14,0),2)</f>
        <v>Goat milk and honey cream</v>
      </c>
      <c r="K5" s="4">
        <v>12</v>
      </c>
      <c r="L5" s="8">
        <v>5</v>
      </c>
      <c r="M5" s="10">
        <f t="shared" si="0"/>
        <v>60</v>
      </c>
      <c r="N5">
        <v>2</v>
      </c>
      <c r="O5" s="3"/>
      <c r="P5" s="2"/>
      <c r="Q5" s="10">
        <f t="shared" si="1"/>
        <v>60</v>
      </c>
    </row>
    <row r="6" spans="1:17" x14ac:dyDescent="0.45">
      <c r="A6">
        <v>5</v>
      </c>
      <c r="B6" s="3">
        <v>44716</v>
      </c>
      <c r="C6" s="44">
        <f t="shared" si="2"/>
        <v>44716</v>
      </c>
      <c r="D6">
        <v>6678</v>
      </c>
      <c r="E6" t="str">
        <f>VLOOKUP(SalesTable[[#This Row],[Salesperson ID]],Salespeople!$A$2:$B$16,2,0)</f>
        <v>Amalia Ribeiro</v>
      </c>
      <c r="F6">
        <v>22713</v>
      </c>
      <c r="G6" t="s">
        <v>45</v>
      </c>
      <c r="H6" t="s">
        <v>46</v>
      </c>
      <c r="I6" t="s">
        <v>47</v>
      </c>
      <c r="J6" t="str">
        <f>INDEX(Products!$A$2:$C$14,MATCH(SalesTable[[#This Row],[Product ID]],Products!$C$2:$C$14,0),2)</f>
        <v>Mixed berry jelly</v>
      </c>
      <c r="K6" s="4">
        <v>7.5</v>
      </c>
      <c r="L6" s="8">
        <v>7</v>
      </c>
      <c r="M6" s="10">
        <f t="shared" si="0"/>
        <v>52.5</v>
      </c>
      <c r="N6">
        <v>2</v>
      </c>
      <c r="O6" s="3"/>
      <c r="P6" s="2"/>
      <c r="Q6" s="10">
        <f t="shared" si="1"/>
        <v>52.5</v>
      </c>
    </row>
    <row r="7" spans="1:17" x14ac:dyDescent="0.45">
      <c r="A7">
        <v>6</v>
      </c>
      <c r="B7" s="3">
        <v>44717</v>
      </c>
      <c r="C7" s="44">
        <f t="shared" si="2"/>
        <v>44717</v>
      </c>
      <c r="D7">
        <v>6357</v>
      </c>
      <c r="E7" t="str">
        <f>VLOOKUP(SalesTable[[#This Row],[Salesperson ID]],Salespeople!$A$2:$B$16,2,0)</f>
        <v>Johnny Bear</v>
      </c>
      <c r="F7">
        <v>10681</v>
      </c>
      <c r="G7" t="s">
        <v>48</v>
      </c>
      <c r="H7" t="s">
        <v>49</v>
      </c>
      <c r="I7" t="s">
        <v>36</v>
      </c>
      <c r="J7" t="str">
        <f>INDEX(Products!$A$2:$C$14,MATCH(SalesTable[[#This Row],[Product ID]],Products!$C$2:$C$14,0),2)</f>
        <v>Goat milk soap</v>
      </c>
      <c r="K7" s="4">
        <v>5.95</v>
      </c>
      <c r="L7" s="8">
        <v>4</v>
      </c>
      <c r="M7" s="10">
        <f t="shared" si="0"/>
        <v>23.8</v>
      </c>
      <c r="N7">
        <v>0</v>
      </c>
      <c r="O7" s="3"/>
      <c r="P7" s="2"/>
      <c r="Q7" s="10">
        <f t="shared" si="1"/>
        <v>23.8</v>
      </c>
    </row>
    <row r="8" spans="1:17" x14ac:dyDescent="0.45">
      <c r="A8">
        <v>7</v>
      </c>
      <c r="B8" s="3">
        <v>44717</v>
      </c>
      <c r="C8" s="44">
        <f t="shared" si="2"/>
        <v>44717</v>
      </c>
      <c r="D8">
        <v>6143</v>
      </c>
      <c r="E8" t="str">
        <f>VLOOKUP(SalesTable[[#This Row],[Salesperson ID]],Salespeople!$A$2:$B$16,2,0)</f>
        <v>Liane Cormier</v>
      </c>
      <c r="F8">
        <v>21064</v>
      </c>
      <c r="G8" t="s">
        <v>50</v>
      </c>
      <c r="H8" t="s">
        <v>51</v>
      </c>
      <c r="I8" t="s">
        <v>52</v>
      </c>
      <c r="J8" t="str">
        <f>INDEX(Products!$A$2:$C$14,MATCH(SalesTable[[#This Row],[Product ID]],Products!$C$2:$C$14,0),2)</f>
        <v>Strawberry jam</v>
      </c>
      <c r="K8" s="4">
        <v>7.5</v>
      </c>
      <c r="L8" s="8">
        <v>2</v>
      </c>
      <c r="M8" s="10">
        <f t="shared" si="0"/>
        <v>15</v>
      </c>
      <c r="N8">
        <v>3</v>
      </c>
      <c r="O8" s="3"/>
      <c r="P8" s="2"/>
      <c r="Q8" s="10">
        <f t="shared" si="1"/>
        <v>15</v>
      </c>
    </row>
    <row r="9" spans="1:17" x14ac:dyDescent="0.45">
      <c r="A9">
        <v>8</v>
      </c>
      <c r="B9" s="3">
        <v>44717</v>
      </c>
      <c r="C9" s="44">
        <f t="shared" si="2"/>
        <v>44717</v>
      </c>
      <c r="D9">
        <v>6464</v>
      </c>
      <c r="E9" t="str">
        <f>VLOOKUP(SalesTable[[#This Row],[Salesperson ID]],Salespeople!$A$2:$B$16,2,0)</f>
        <v>Hamal Azzi</v>
      </c>
      <c r="F9">
        <v>28365</v>
      </c>
      <c r="G9" t="s">
        <v>53</v>
      </c>
      <c r="H9" t="s">
        <v>54</v>
      </c>
      <c r="I9" t="s">
        <v>44</v>
      </c>
      <c r="J9" t="str">
        <f>INDEX(Products!$A$2:$C$14,MATCH(SalesTable[[#This Row],[Product ID]],Products!$C$2:$C$14,0),2)</f>
        <v>Goat milk and honey cream</v>
      </c>
      <c r="K9" s="4">
        <v>12</v>
      </c>
      <c r="L9" s="8">
        <v>8</v>
      </c>
      <c r="M9" s="10">
        <f t="shared" si="0"/>
        <v>96</v>
      </c>
      <c r="N9">
        <v>1</v>
      </c>
      <c r="O9" s="3"/>
      <c r="P9" s="2"/>
      <c r="Q9" s="10">
        <f t="shared" si="1"/>
        <v>96</v>
      </c>
    </row>
    <row r="10" spans="1:17" x14ac:dyDescent="0.45">
      <c r="A10">
        <v>9</v>
      </c>
      <c r="B10" s="3">
        <v>44717</v>
      </c>
      <c r="C10" s="44">
        <f t="shared" si="2"/>
        <v>44717</v>
      </c>
      <c r="D10">
        <v>6250</v>
      </c>
      <c r="E10" t="str">
        <f>VLOOKUP(SalesTable[[#This Row],[Salesperson ID]],Salespeople!$A$2:$B$16,2,0)</f>
        <v>Hu Lin</v>
      </c>
      <c r="F10">
        <v>17717</v>
      </c>
      <c r="G10" t="s">
        <v>55</v>
      </c>
      <c r="H10" t="s">
        <v>56</v>
      </c>
      <c r="I10" t="s">
        <v>57</v>
      </c>
      <c r="J10" t="str">
        <f>INDEX(Products!$A$2:$C$14,MATCH(SalesTable[[#This Row],[Product ID]],Products!$C$2:$C$14,0),2)</f>
        <v>Clover honey</v>
      </c>
      <c r="K10" s="4">
        <v>9</v>
      </c>
      <c r="L10" s="8">
        <v>2</v>
      </c>
      <c r="M10" s="10">
        <f t="shared" si="0"/>
        <v>18</v>
      </c>
      <c r="N10">
        <v>1</v>
      </c>
      <c r="O10" s="3"/>
      <c r="P10" s="2"/>
      <c r="Q10" s="10">
        <f t="shared" si="1"/>
        <v>18</v>
      </c>
    </row>
    <row r="11" spans="1:17" x14ac:dyDescent="0.45">
      <c r="A11">
        <v>10</v>
      </c>
      <c r="B11" s="3">
        <v>44717</v>
      </c>
      <c r="C11" s="44">
        <f t="shared" si="2"/>
        <v>44717</v>
      </c>
      <c r="D11">
        <v>5400</v>
      </c>
      <c r="E11" t="str">
        <f>VLOOKUP(SalesTable[[#This Row],[Salesperson ID]],Salespeople!$A$2:$B$16,2,0)</f>
        <v>Maisha Karzai</v>
      </c>
      <c r="F11">
        <v>15353</v>
      </c>
      <c r="G11" t="s">
        <v>58</v>
      </c>
      <c r="H11" t="s">
        <v>38</v>
      </c>
      <c r="I11" t="s">
        <v>59</v>
      </c>
      <c r="J11" t="str">
        <f>INDEX(Products!$A$2:$C$14,MATCH(SalesTable[[#This Row],[Product ID]],Products!$C$2:$C$14,0),2)</f>
        <v>Wildflower honey</v>
      </c>
      <c r="K11" s="4">
        <v>9</v>
      </c>
      <c r="L11" s="8">
        <v>3</v>
      </c>
      <c r="M11" s="10">
        <f t="shared" si="0"/>
        <v>27</v>
      </c>
      <c r="N11">
        <v>2</v>
      </c>
      <c r="O11" s="3"/>
      <c r="P11" s="2"/>
      <c r="Q11" s="10">
        <f t="shared" si="1"/>
        <v>27</v>
      </c>
    </row>
    <row r="12" spans="1:17" x14ac:dyDescent="0.45">
      <c r="A12">
        <v>11</v>
      </c>
      <c r="B12" s="3">
        <v>44718</v>
      </c>
      <c r="C12" s="44">
        <f t="shared" si="2"/>
        <v>44718</v>
      </c>
      <c r="D12">
        <v>1384</v>
      </c>
      <c r="E12" t="str">
        <f>VLOOKUP(SalesTable[[#This Row],[Salesperson ID]],Salespeople!$A$2:$B$16,2,0)</f>
        <v>Igor Almeida</v>
      </c>
      <c r="F12">
        <v>24952</v>
      </c>
      <c r="G12" t="s">
        <v>60</v>
      </c>
      <c r="H12" t="s">
        <v>56</v>
      </c>
      <c r="I12" t="s">
        <v>61</v>
      </c>
      <c r="J12" t="str">
        <f>INDEX(Products!$A$2:$C$14,MATCH(SalesTable[[#This Row],[Product ID]],Products!$C$2:$C$14,0),2)</f>
        <v>Buckwheat honey</v>
      </c>
      <c r="K12" s="4">
        <v>9</v>
      </c>
      <c r="L12" s="8">
        <v>8</v>
      </c>
      <c r="M12" s="10">
        <f t="shared" si="0"/>
        <v>72</v>
      </c>
      <c r="N12">
        <v>3</v>
      </c>
      <c r="O12" s="3"/>
      <c r="P12" s="2"/>
      <c r="Q12" s="10">
        <f t="shared" si="1"/>
        <v>72</v>
      </c>
    </row>
    <row r="13" spans="1:17" x14ac:dyDescent="0.45">
      <c r="A13">
        <v>12</v>
      </c>
      <c r="B13" s="3">
        <v>44718</v>
      </c>
      <c r="C13" s="44">
        <f t="shared" si="2"/>
        <v>44718</v>
      </c>
      <c r="D13">
        <v>6678</v>
      </c>
      <c r="E13" t="str">
        <f>VLOOKUP(SalesTable[[#This Row],[Salesperson ID]],Salespeople!$A$2:$B$16,2,0)</f>
        <v>Amalia Ribeiro</v>
      </c>
      <c r="F13">
        <v>23585</v>
      </c>
      <c r="G13" t="s">
        <v>62</v>
      </c>
      <c r="H13" t="s">
        <v>63</v>
      </c>
      <c r="I13" t="s">
        <v>64</v>
      </c>
      <c r="J13" t="str">
        <f>INDEX(Products!$A$2:$C$14,MATCH(SalesTable[[#This Row],[Product ID]],Products!$C$2:$C$14,0),2)</f>
        <v>Oatmeal soap</v>
      </c>
      <c r="K13" s="4">
        <v>5.95</v>
      </c>
      <c r="L13" s="8">
        <v>10</v>
      </c>
      <c r="M13" s="10">
        <f t="shared" si="0"/>
        <v>59.5</v>
      </c>
      <c r="N13">
        <v>2</v>
      </c>
      <c r="O13" s="3"/>
      <c r="P13" s="2"/>
      <c r="Q13" s="10">
        <f t="shared" si="1"/>
        <v>59.5</v>
      </c>
    </row>
    <row r="14" spans="1:17" x14ac:dyDescent="0.45">
      <c r="A14">
        <v>13</v>
      </c>
      <c r="B14" s="3">
        <v>44718</v>
      </c>
      <c r="C14" s="44">
        <f t="shared" si="2"/>
        <v>44718</v>
      </c>
      <c r="D14">
        <v>6892</v>
      </c>
      <c r="E14" t="str">
        <f>VLOOKUP(SalesTable[[#This Row],[Salesperson ID]],Salespeople!$A$2:$B$16,2,0)</f>
        <v>Fahd Sleiman</v>
      </c>
      <c r="F14">
        <v>25929</v>
      </c>
      <c r="G14" t="s">
        <v>65</v>
      </c>
      <c r="H14" t="s">
        <v>66</v>
      </c>
      <c r="I14" t="s">
        <v>39</v>
      </c>
      <c r="J14" t="str">
        <f>INDEX(Products!$A$2:$C$14,MATCH(SalesTable[[#This Row],[Product ID]],Products!$C$2:$C$14,0),2)</f>
        <v>Rhubarb-strawberry compote</v>
      </c>
      <c r="K14" s="4">
        <v>8</v>
      </c>
      <c r="L14" s="8">
        <v>9</v>
      </c>
      <c r="M14" s="10">
        <f t="shared" si="0"/>
        <v>72</v>
      </c>
      <c r="N14">
        <v>3</v>
      </c>
      <c r="O14" s="3"/>
      <c r="P14" s="2"/>
      <c r="Q14" s="10">
        <f t="shared" si="1"/>
        <v>72</v>
      </c>
    </row>
    <row r="15" spans="1:17" x14ac:dyDescent="0.45">
      <c r="A15">
        <v>14</v>
      </c>
      <c r="B15" s="3">
        <v>44718</v>
      </c>
      <c r="C15" s="44">
        <f t="shared" si="2"/>
        <v>44718</v>
      </c>
      <c r="D15">
        <v>5346</v>
      </c>
      <c r="E15" t="str">
        <f>VLOOKUP(SalesTable[[#This Row],[Salesperson ID]],Salespeople!$A$2:$B$16,2,0)</f>
        <v>Sergio Galvez</v>
      </c>
      <c r="F15">
        <v>27191</v>
      </c>
      <c r="G15" t="s">
        <v>67</v>
      </c>
      <c r="H15" t="s">
        <v>38</v>
      </c>
      <c r="I15" t="s">
        <v>68</v>
      </c>
      <c r="J15" t="str">
        <f>INDEX(Products!$A$2:$C$14,MATCH(SalesTable[[#This Row],[Product ID]],Products!$C$2:$C$14,0),2)</f>
        <v>Mixed berry jam</v>
      </c>
      <c r="K15" s="4">
        <v>7.5</v>
      </c>
      <c r="L15" s="8">
        <v>9</v>
      </c>
      <c r="M15" s="10">
        <f t="shared" si="0"/>
        <v>67.5</v>
      </c>
      <c r="N15">
        <v>0</v>
      </c>
      <c r="O15" s="3"/>
      <c r="P15" s="2"/>
      <c r="Q15" s="10">
        <f t="shared" si="1"/>
        <v>67.5</v>
      </c>
    </row>
    <row r="16" spans="1:17" x14ac:dyDescent="0.45">
      <c r="A16">
        <v>15</v>
      </c>
      <c r="B16" s="3">
        <v>44718</v>
      </c>
      <c r="C16" s="44">
        <f t="shared" si="2"/>
        <v>44718</v>
      </c>
      <c r="D16">
        <v>6464</v>
      </c>
      <c r="E16" t="str">
        <f>VLOOKUP(SalesTable[[#This Row],[Salesperson ID]],Salespeople!$A$2:$B$16,2,0)</f>
        <v>Hamal Azzi</v>
      </c>
      <c r="F16">
        <v>15561</v>
      </c>
      <c r="G16" t="s">
        <v>69</v>
      </c>
      <c r="H16" t="s">
        <v>56</v>
      </c>
      <c r="I16" t="s">
        <v>70</v>
      </c>
      <c r="J16" t="str">
        <f>INDEX(Products!$A$2:$C$14,MATCH(SalesTable[[#This Row],[Product ID]],Products!$C$2:$C$14,0),2)</f>
        <v>Strawberry summer soap</v>
      </c>
      <c r="K16" s="4">
        <v>5.95</v>
      </c>
      <c r="L16" s="8">
        <v>2</v>
      </c>
      <c r="M16" s="10">
        <f t="shared" si="0"/>
        <v>11.9</v>
      </c>
      <c r="N16">
        <v>2</v>
      </c>
      <c r="O16" s="3"/>
      <c r="P16" s="2"/>
      <c r="Q16" s="10">
        <f t="shared" si="1"/>
        <v>11.9</v>
      </c>
    </row>
    <row r="17" spans="1:17" x14ac:dyDescent="0.45">
      <c r="A17">
        <v>16</v>
      </c>
      <c r="B17" s="3">
        <v>44718</v>
      </c>
      <c r="C17" s="44">
        <f t="shared" si="2"/>
        <v>44718</v>
      </c>
      <c r="D17">
        <v>5346</v>
      </c>
      <c r="E17" t="str">
        <f>VLOOKUP(SalesTable[[#This Row],[Salesperson ID]],Salespeople!$A$2:$B$16,2,0)</f>
        <v>Sergio Galvez</v>
      </c>
      <c r="F17">
        <v>15256</v>
      </c>
      <c r="G17" t="s">
        <v>71</v>
      </c>
      <c r="H17" t="s">
        <v>51</v>
      </c>
      <c r="I17" t="s">
        <v>64</v>
      </c>
      <c r="J17" t="str">
        <f>INDEX(Products!$A$2:$C$14,MATCH(SalesTable[[#This Row],[Product ID]],Products!$C$2:$C$14,0),2)</f>
        <v>Oatmeal soap</v>
      </c>
      <c r="K17" s="4">
        <v>5.95</v>
      </c>
      <c r="L17" s="8">
        <v>3</v>
      </c>
      <c r="M17" s="10">
        <f t="shared" si="0"/>
        <v>17.850000000000001</v>
      </c>
      <c r="N17">
        <v>3</v>
      </c>
      <c r="O17" s="3"/>
      <c r="P17" s="2"/>
      <c r="Q17" s="10">
        <f t="shared" si="1"/>
        <v>17.850000000000001</v>
      </c>
    </row>
    <row r="18" spans="1:17" x14ac:dyDescent="0.45">
      <c r="A18">
        <v>17</v>
      </c>
      <c r="B18" s="3">
        <v>44719</v>
      </c>
      <c r="C18" s="44">
        <f t="shared" si="2"/>
        <v>44719</v>
      </c>
      <c r="D18">
        <v>6678</v>
      </c>
      <c r="E18" t="str">
        <f>VLOOKUP(SalesTable[[#This Row],[Salesperson ID]],Salespeople!$A$2:$B$16,2,0)</f>
        <v>Amalia Ribeiro</v>
      </c>
      <c r="F18">
        <v>23450</v>
      </c>
      <c r="G18" t="s">
        <v>72</v>
      </c>
      <c r="H18" t="s">
        <v>51</v>
      </c>
      <c r="I18" t="s">
        <v>36</v>
      </c>
      <c r="J18" t="str">
        <f>INDEX(Products!$A$2:$C$14,MATCH(SalesTable[[#This Row],[Product ID]],Products!$C$2:$C$14,0),2)</f>
        <v>Goat milk soap</v>
      </c>
      <c r="K18" s="4">
        <v>5.95</v>
      </c>
      <c r="L18" s="8">
        <v>5</v>
      </c>
      <c r="M18" s="10">
        <f t="shared" si="0"/>
        <v>29.75</v>
      </c>
      <c r="N18">
        <v>1</v>
      </c>
      <c r="O18" s="3"/>
      <c r="P18" s="2"/>
      <c r="Q18" s="10">
        <f t="shared" si="1"/>
        <v>29.75</v>
      </c>
    </row>
    <row r="19" spans="1:17" x14ac:dyDescent="0.45">
      <c r="A19">
        <v>18</v>
      </c>
      <c r="B19" s="3">
        <v>44719</v>
      </c>
      <c r="C19" s="44">
        <f t="shared" si="2"/>
        <v>44719</v>
      </c>
      <c r="D19">
        <v>1384</v>
      </c>
      <c r="E19" t="str">
        <f>VLOOKUP(SalesTable[[#This Row],[Salesperson ID]],Salespeople!$A$2:$B$16,2,0)</f>
        <v>Igor Almeida</v>
      </c>
      <c r="F19">
        <v>20676</v>
      </c>
      <c r="G19" t="s">
        <v>73</v>
      </c>
      <c r="H19" t="s">
        <v>63</v>
      </c>
      <c r="I19" t="s">
        <v>61</v>
      </c>
      <c r="J19" t="str">
        <f>INDEX(Products!$A$2:$C$14,MATCH(SalesTable[[#This Row],[Product ID]],Products!$C$2:$C$14,0),2)</f>
        <v>Buckwheat honey</v>
      </c>
      <c r="K19" s="4">
        <v>9</v>
      </c>
      <c r="L19" s="8">
        <v>3</v>
      </c>
      <c r="M19" s="10">
        <f t="shared" si="0"/>
        <v>27</v>
      </c>
      <c r="N19">
        <v>2</v>
      </c>
      <c r="O19" s="3"/>
      <c r="P19" s="2"/>
      <c r="Q19" s="10">
        <f t="shared" si="1"/>
        <v>27</v>
      </c>
    </row>
    <row r="20" spans="1:17" x14ac:dyDescent="0.45">
      <c r="A20">
        <v>19</v>
      </c>
      <c r="B20" s="3">
        <v>44719</v>
      </c>
      <c r="C20" s="44">
        <f t="shared" si="2"/>
        <v>44719</v>
      </c>
      <c r="D20">
        <v>6892</v>
      </c>
      <c r="E20" t="str">
        <f>VLOOKUP(SalesTable[[#This Row],[Salesperson ID]],Salespeople!$A$2:$B$16,2,0)</f>
        <v>Fahd Sleiman</v>
      </c>
      <c r="F20">
        <v>22094</v>
      </c>
      <c r="G20" t="s">
        <v>74</v>
      </c>
      <c r="H20" t="s">
        <v>51</v>
      </c>
      <c r="I20" t="s">
        <v>57</v>
      </c>
      <c r="J20" t="str">
        <f>INDEX(Products!$A$2:$C$14,MATCH(SalesTable[[#This Row],[Product ID]],Products!$C$2:$C$14,0),2)</f>
        <v>Clover honey</v>
      </c>
      <c r="K20" s="4">
        <v>9</v>
      </c>
      <c r="L20" s="8">
        <v>6</v>
      </c>
      <c r="M20" s="10">
        <f t="shared" si="0"/>
        <v>54</v>
      </c>
      <c r="N20">
        <v>3</v>
      </c>
      <c r="O20" s="3"/>
      <c r="P20" s="2"/>
      <c r="Q20" s="10">
        <f t="shared" si="1"/>
        <v>54</v>
      </c>
    </row>
    <row r="21" spans="1:17" x14ac:dyDescent="0.45">
      <c r="A21">
        <v>20</v>
      </c>
      <c r="B21" s="3">
        <v>44719</v>
      </c>
      <c r="C21" s="44">
        <f t="shared" si="2"/>
        <v>44719</v>
      </c>
      <c r="D21">
        <v>4350</v>
      </c>
      <c r="E21" t="str">
        <f>VLOOKUP(SalesTable[[#This Row],[Salesperson ID]],Salespeople!$A$2:$B$16,2,0)</f>
        <v>Mukhtar Masih</v>
      </c>
      <c r="F21">
        <v>21339</v>
      </c>
      <c r="G21" t="s">
        <v>75</v>
      </c>
      <c r="H21" t="s">
        <v>41</v>
      </c>
      <c r="I21" t="s">
        <v>44</v>
      </c>
      <c r="J21" t="str">
        <f>INDEX(Products!$A$2:$C$14,MATCH(SalesTable[[#This Row],[Product ID]],Products!$C$2:$C$14,0),2)</f>
        <v>Goat milk and honey cream</v>
      </c>
      <c r="K21" s="4">
        <v>12</v>
      </c>
      <c r="L21" s="8">
        <v>8</v>
      </c>
      <c r="M21" s="10">
        <f t="shared" si="0"/>
        <v>96</v>
      </c>
      <c r="N21">
        <v>2</v>
      </c>
      <c r="O21" s="3"/>
      <c r="P21" s="2"/>
      <c r="Q21" s="10">
        <f t="shared" si="1"/>
        <v>96</v>
      </c>
    </row>
    <row r="22" spans="1:17" x14ac:dyDescent="0.45">
      <c r="A22">
        <v>21</v>
      </c>
      <c r="B22" s="3">
        <v>44719</v>
      </c>
      <c r="C22" s="44">
        <f t="shared" si="2"/>
        <v>44719</v>
      </c>
      <c r="D22">
        <v>5400</v>
      </c>
      <c r="E22" t="str">
        <f>VLOOKUP(SalesTable[[#This Row],[Salesperson ID]],Salespeople!$A$2:$B$16,2,0)</f>
        <v>Maisha Karzai</v>
      </c>
      <c r="F22">
        <v>18495</v>
      </c>
      <c r="G22" t="s">
        <v>76</v>
      </c>
      <c r="H22" t="s">
        <v>41</v>
      </c>
      <c r="I22" t="s">
        <v>70</v>
      </c>
      <c r="J22" t="str">
        <f>INDEX(Products!$A$2:$C$14,MATCH(SalesTable[[#This Row],[Product ID]],Products!$C$2:$C$14,0),2)</f>
        <v>Strawberry summer soap</v>
      </c>
      <c r="K22" s="4">
        <v>5.95</v>
      </c>
      <c r="L22" s="8">
        <v>3</v>
      </c>
      <c r="M22" s="10">
        <f t="shared" si="0"/>
        <v>17.850000000000001</v>
      </c>
      <c r="N22">
        <v>2</v>
      </c>
      <c r="O22" s="3"/>
      <c r="P22" s="2"/>
      <c r="Q22" s="10">
        <f t="shared" si="1"/>
        <v>17.850000000000001</v>
      </c>
    </row>
    <row r="23" spans="1:17" x14ac:dyDescent="0.45">
      <c r="A23">
        <v>22</v>
      </c>
      <c r="B23" s="3">
        <v>44720</v>
      </c>
      <c r="C23" s="44">
        <f t="shared" si="2"/>
        <v>44720</v>
      </c>
      <c r="D23">
        <v>6571</v>
      </c>
      <c r="E23" t="str">
        <f>VLOOKUP(SalesTable[[#This Row],[Salesperson ID]],Salespeople!$A$2:$B$16,2,0)</f>
        <v>Iker Dominguez</v>
      </c>
      <c r="F23">
        <v>18542</v>
      </c>
      <c r="G23" t="s">
        <v>77</v>
      </c>
      <c r="H23" t="s">
        <v>78</v>
      </c>
      <c r="I23" t="s">
        <v>52</v>
      </c>
      <c r="J23" t="str">
        <f>INDEX(Products!$A$2:$C$14,MATCH(SalesTable[[#This Row],[Product ID]],Products!$C$2:$C$14,0),2)</f>
        <v>Strawberry jam</v>
      </c>
      <c r="K23" s="4">
        <v>7.5</v>
      </c>
      <c r="L23" s="8">
        <v>5</v>
      </c>
      <c r="M23" s="10">
        <f t="shared" si="0"/>
        <v>37.5</v>
      </c>
      <c r="N23">
        <v>0</v>
      </c>
      <c r="O23" s="3"/>
      <c r="P23" s="2"/>
      <c r="Q23" s="10">
        <f t="shared" si="1"/>
        <v>37.5</v>
      </c>
    </row>
    <row r="24" spans="1:17" x14ac:dyDescent="0.45">
      <c r="A24">
        <v>23</v>
      </c>
      <c r="B24" s="3">
        <v>44720</v>
      </c>
      <c r="C24" s="44">
        <f t="shared" si="2"/>
        <v>44720</v>
      </c>
      <c r="D24">
        <v>6357</v>
      </c>
      <c r="E24" t="str">
        <f>VLOOKUP(SalesTable[[#This Row],[Salesperson ID]],Salespeople!$A$2:$B$16,2,0)</f>
        <v>Johnny Bear</v>
      </c>
      <c r="F24">
        <v>18854</v>
      </c>
      <c r="G24" t="s">
        <v>79</v>
      </c>
      <c r="H24" t="s">
        <v>35</v>
      </c>
      <c r="I24" t="s">
        <v>52</v>
      </c>
      <c r="J24" t="str">
        <f>INDEX(Products!$A$2:$C$14,MATCH(SalesTable[[#This Row],[Product ID]],Products!$C$2:$C$14,0),2)</f>
        <v>Strawberry jam</v>
      </c>
      <c r="K24" s="4">
        <v>7.5</v>
      </c>
      <c r="L24" s="8">
        <v>1</v>
      </c>
      <c r="M24" s="10">
        <f t="shared" si="0"/>
        <v>7.5</v>
      </c>
      <c r="N24">
        <v>3</v>
      </c>
      <c r="O24" s="3"/>
      <c r="P24" s="2"/>
      <c r="Q24" s="10">
        <f t="shared" si="1"/>
        <v>7.5</v>
      </c>
    </row>
    <row r="25" spans="1:17" x14ac:dyDescent="0.45">
      <c r="A25">
        <v>24</v>
      </c>
      <c r="B25" s="3">
        <v>44720</v>
      </c>
      <c r="C25" s="44">
        <f t="shared" si="2"/>
        <v>44720</v>
      </c>
      <c r="D25">
        <v>6892</v>
      </c>
      <c r="E25" t="str">
        <f>VLOOKUP(SalesTable[[#This Row],[Salesperson ID]],Salespeople!$A$2:$B$16,2,0)</f>
        <v>Fahd Sleiman</v>
      </c>
      <c r="F25">
        <v>17441</v>
      </c>
      <c r="G25" t="s">
        <v>80</v>
      </c>
      <c r="H25" t="s">
        <v>51</v>
      </c>
      <c r="I25" t="s">
        <v>39</v>
      </c>
      <c r="J25" t="str">
        <f>INDEX(Products!$A$2:$C$14,MATCH(SalesTable[[#This Row],[Product ID]],Products!$C$2:$C$14,0),2)</f>
        <v>Rhubarb-strawberry compote</v>
      </c>
      <c r="K25" s="4">
        <v>8</v>
      </c>
      <c r="L25" s="8">
        <v>5</v>
      </c>
      <c r="M25" s="10">
        <f t="shared" si="0"/>
        <v>40</v>
      </c>
      <c r="N25">
        <v>3</v>
      </c>
      <c r="O25" s="3"/>
      <c r="P25" s="2"/>
      <c r="Q25" s="10">
        <f t="shared" si="1"/>
        <v>40</v>
      </c>
    </row>
    <row r="26" spans="1:17" x14ac:dyDescent="0.45">
      <c r="A26">
        <v>25</v>
      </c>
      <c r="B26" s="3">
        <v>44721</v>
      </c>
      <c r="C26" s="44">
        <f t="shared" si="2"/>
        <v>44721</v>
      </c>
      <c r="D26">
        <v>6464</v>
      </c>
      <c r="E26" t="str">
        <f>VLOOKUP(SalesTable[[#This Row],[Salesperson ID]],Salespeople!$A$2:$B$16,2,0)</f>
        <v>Hamal Azzi</v>
      </c>
      <c r="F26">
        <v>23211</v>
      </c>
      <c r="G26" t="s">
        <v>81</v>
      </c>
      <c r="H26" t="s">
        <v>51</v>
      </c>
      <c r="I26" t="s">
        <v>82</v>
      </c>
      <c r="J26" t="str">
        <f>INDEX(Products!$A$2:$C$14,MATCH(SalesTable[[#This Row],[Product ID]],Products!$C$2:$C$14,0),2)</f>
        <v>Oatmeal hand and body lotion</v>
      </c>
      <c r="K26" s="4">
        <v>12</v>
      </c>
      <c r="L26" s="8">
        <v>6</v>
      </c>
      <c r="M26" s="10">
        <f t="shared" si="0"/>
        <v>72</v>
      </c>
      <c r="N26">
        <v>3</v>
      </c>
      <c r="O26" s="3"/>
      <c r="P26" s="2"/>
      <c r="Q26" s="10">
        <f t="shared" si="1"/>
        <v>72</v>
      </c>
    </row>
    <row r="27" spans="1:17" x14ac:dyDescent="0.45">
      <c r="A27">
        <v>26</v>
      </c>
      <c r="B27" s="3">
        <v>44722</v>
      </c>
      <c r="C27" s="44">
        <f t="shared" si="2"/>
        <v>44722</v>
      </c>
      <c r="D27">
        <v>6464</v>
      </c>
      <c r="E27" t="str">
        <f>VLOOKUP(SalesTable[[#This Row],[Salesperson ID]],Salespeople!$A$2:$B$16,2,0)</f>
        <v>Hamal Azzi</v>
      </c>
      <c r="F27">
        <v>26500</v>
      </c>
      <c r="G27" t="s">
        <v>83</v>
      </c>
      <c r="H27" t="s">
        <v>84</v>
      </c>
      <c r="I27" t="s">
        <v>82</v>
      </c>
      <c r="J27" t="str">
        <f>INDEX(Products!$A$2:$C$14,MATCH(SalesTable[[#This Row],[Product ID]],Products!$C$2:$C$14,0),2)</f>
        <v>Oatmeal hand and body lotion</v>
      </c>
      <c r="K27" s="4">
        <v>12</v>
      </c>
      <c r="L27" s="8">
        <v>8</v>
      </c>
      <c r="M27" s="10">
        <f t="shared" si="0"/>
        <v>96</v>
      </c>
      <c r="N27">
        <v>2</v>
      </c>
      <c r="O27" s="3"/>
      <c r="P27" s="2"/>
      <c r="Q27" s="10">
        <f t="shared" si="1"/>
        <v>96</v>
      </c>
    </row>
    <row r="28" spans="1:17" x14ac:dyDescent="0.45">
      <c r="A28">
        <v>27</v>
      </c>
      <c r="B28" s="3">
        <v>44722</v>
      </c>
      <c r="C28" s="44">
        <f t="shared" si="2"/>
        <v>44722</v>
      </c>
      <c r="D28">
        <v>6892</v>
      </c>
      <c r="E28" t="str">
        <f>VLOOKUP(SalesTable[[#This Row],[Salesperson ID]],Salespeople!$A$2:$B$16,2,0)</f>
        <v>Fahd Sleiman</v>
      </c>
      <c r="F28">
        <v>27560</v>
      </c>
      <c r="G28" t="s">
        <v>85</v>
      </c>
      <c r="H28" t="s">
        <v>43</v>
      </c>
      <c r="I28" t="s">
        <v>57</v>
      </c>
      <c r="J28" t="str">
        <f>INDEX(Products!$A$2:$C$14,MATCH(SalesTable[[#This Row],[Product ID]],Products!$C$2:$C$14,0),2)</f>
        <v>Clover honey</v>
      </c>
      <c r="K28" s="4">
        <v>9</v>
      </c>
      <c r="L28" s="8">
        <v>10</v>
      </c>
      <c r="M28" s="10">
        <f t="shared" si="0"/>
        <v>90</v>
      </c>
      <c r="N28">
        <v>2</v>
      </c>
      <c r="O28" s="3"/>
      <c r="P28" s="2"/>
      <c r="Q28" s="10">
        <f t="shared" si="1"/>
        <v>90</v>
      </c>
    </row>
    <row r="29" spans="1:17" x14ac:dyDescent="0.45">
      <c r="A29">
        <v>28</v>
      </c>
      <c r="B29" s="3">
        <v>44722</v>
      </c>
      <c r="C29" s="44">
        <f t="shared" si="2"/>
        <v>44722</v>
      </c>
      <c r="D29">
        <v>6678</v>
      </c>
      <c r="E29" t="str">
        <f>VLOOKUP(SalesTable[[#This Row],[Salesperson ID]],Salespeople!$A$2:$B$16,2,0)</f>
        <v>Amalia Ribeiro</v>
      </c>
      <c r="F29">
        <v>26564</v>
      </c>
      <c r="G29" t="s">
        <v>86</v>
      </c>
      <c r="H29" t="s">
        <v>46</v>
      </c>
      <c r="I29" t="s">
        <v>47</v>
      </c>
      <c r="J29" t="str">
        <f>INDEX(Products!$A$2:$C$14,MATCH(SalesTable[[#This Row],[Product ID]],Products!$C$2:$C$14,0),2)</f>
        <v>Mixed berry jelly</v>
      </c>
      <c r="K29" s="4">
        <v>7.5</v>
      </c>
      <c r="L29" s="8">
        <v>7</v>
      </c>
      <c r="M29" s="10">
        <f t="shared" si="0"/>
        <v>52.5</v>
      </c>
      <c r="N29">
        <v>3</v>
      </c>
      <c r="O29" s="3"/>
      <c r="P29" s="2"/>
      <c r="Q29" s="10">
        <f t="shared" si="1"/>
        <v>52.5</v>
      </c>
    </row>
    <row r="30" spans="1:17" x14ac:dyDescent="0.45">
      <c r="A30">
        <v>29</v>
      </c>
      <c r="B30" s="3">
        <v>44722</v>
      </c>
      <c r="C30" s="44">
        <f t="shared" si="2"/>
        <v>44722</v>
      </c>
      <c r="D30">
        <v>6678</v>
      </c>
      <c r="E30" t="str">
        <f>VLOOKUP(SalesTable[[#This Row],[Salesperson ID]],Salespeople!$A$2:$B$16,2,0)</f>
        <v>Amalia Ribeiro</v>
      </c>
      <c r="F30">
        <v>21959</v>
      </c>
      <c r="G30" t="s">
        <v>87</v>
      </c>
      <c r="H30" t="s">
        <v>88</v>
      </c>
      <c r="I30" t="s">
        <v>52</v>
      </c>
      <c r="J30" t="str">
        <f>INDEX(Products!$A$2:$C$14,MATCH(SalesTable[[#This Row],[Product ID]],Products!$C$2:$C$14,0),2)</f>
        <v>Strawberry jam</v>
      </c>
      <c r="K30" s="4">
        <v>7.5</v>
      </c>
      <c r="L30" s="8">
        <v>10</v>
      </c>
      <c r="M30" s="10">
        <f t="shared" si="0"/>
        <v>75</v>
      </c>
      <c r="N30">
        <v>2</v>
      </c>
      <c r="O30" s="3"/>
      <c r="P30" s="2"/>
      <c r="Q30" s="10">
        <f t="shared" si="1"/>
        <v>75</v>
      </c>
    </row>
    <row r="31" spans="1:17" x14ac:dyDescent="0.45">
      <c r="A31">
        <v>30</v>
      </c>
      <c r="B31" s="3">
        <v>44723</v>
      </c>
      <c r="C31" s="44">
        <f t="shared" si="2"/>
        <v>44723</v>
      </c>
      <c r="D31">
        <v>8064</v>
      </c>
      <c r="E31" t="str">
        <f>VLOOKUP(SalesTable[[#This Row],[Salesperson ID]],Salespeople!$A$2:$B$16,2,0)</f>
        <v>Amal Salazar</v>
      </c>
      <c r="F31">
        <v>17338</v>
      </c>
      <c r="G31" t="s">
        <v>89</v>
      </c>
      <c r="H31" t="s">
        <v>41</v>
      </c>
      <c r="I31" t="s">
        <v>39</v>
      </c>
      <c r="J31" t="str">
        <f>INDEX(Products!$A$2:$C$14,MATCH(SalesTable[[#This Row],[Product ID]],Products!$C$2:$C$14,0),2)</f>
        <v>Rhubarb-strawberry compote</v>
      </c>
      <c r="K31" s="4">
        <v>8</v>
      </c>
      <c r="L31" s="8">
        <v>2</v>
      </c>
      <c r="M31" s="10">
        <f t="shared" si="0"/>
        <v>16</v>
      </c>
      <c r="N31">
        <v>0</v>
      </c>
      <c r="O31" s="3"/>
      <c r="P31" s="2"/>
      <c r="Q31" s="10">
        <f t="shared" si="1"/>
        <v>16</v>
      </c>
    </row>
    <row r="32" spans="1:17" x14ac:dyDescent="0.45">
      <c r="A32">
        <v>31</v>
      </c>
      <c r="B32" s="3">
        <v>44723</v>
      </c>
      <c r="C32" s="44">
        <f t="shared" si="2"/>
        <v>44723</v>
      </c>
      <c r="D32">
        <v>8064</v>
      </c>
      <c r="E32" t="str">
        <f>VLOOKUP(SalesTable[[#This Row],[Salesperson ID]],Salespeople!$A$2:$B$16,2,0)</f>
        <v>Amal Salazar</v>
      </c>
      <c r="F32">
        <v>11047</v>
      </c>
      <c r="G32" t="s">
        <v>90</v>
      </c>
      <c r="H32" t="s">
        <v>63</v>
      </c>
      <c r="I32" t="s">
        <v>39</v>
      </c>
      <c r="J32" t="str">
        <f>INDEX(Products!$A$2:$C$14,MATCH(SalesTable[[#This Row],[Product ID]],Products!$C$2:$C$14,0),2)</f>
        <v>Rhubarb-strawberry compote</v>
      </c>
      <c r="K32" s="4">
        <v>8</v>
      </c>
      <c r="L32" s="8">
        <v>5</v>
      </c>
      <c r="M32" s="10">
        <f t="shared" si="0"/>
        <v>40</v>
      </c>
      <c r="N32">
        <v>2</v>
      </c>
      <c r="O32" s="3"/>
      <c r="P32" s="2"/>
      <c r="Q32" s="10">
        <f t="shared" si="1"/>
        <v>40</v>
      </c>
    </row>
    <row r="33" spans="1:17" x14ac:dyDescent="0.45">
      <c r="A33">
        <v>32</v>
      </c>
      <c r="B33" s="3">
        <v>44723</v>
      </c>
      <c r="C33" s="44">
        <f t="shared" si="2"/>
        <v>44723</v>
      </c>
      <c r="D33">
        <v>6250</v>
      </c>
      <c r="E33" t="str">
        <f>VLOOKUP(SalesTable[[#This Row],[Salesperson ID]],Salespeople!$A$2:$B$16,2,0)</f>
        <v>Hu Lin</v>
      </c>
      <c r="F33">
        <v>20051</v>
      </c>
      <c r="G33" t="s">
        <v>91</v>
      </c>
      <c r="H33" t="s">
        <v>92</v>
      </c>
      <c r="I33" t="s">
        <v>64</v>
      </c>
      <c r="J33" t="str">
        <f>INDEX(Products!$A$2:$C$14,MATCH(SalesTable[[#This Row],[Product ID]],Products!$C$2:$C$14,0),2)</f>
        <v>Oatmeal soap</v>
      </c>
      <c r="K33" s="4">
        <v>5.95</v>
      </c>
      <c r="L33" s="8">
        <v>3</v>
      </c>
      <c r="M33" s="10">
        <f t="shared" si="0"/>
        <v>17.850000000000001</v>
      </c>
      <c r="N33">
        <v>3</v>
      </c>
      <c r="O33" s="3"/>
      <c r="P33" s="2"/>
      <c r="Q33" s="10">
        <f t="shared" si="1"/>
        <v>17.850000000000001</v>
      </c>
    </row>
    <row r="34" spans="1:17" x14ac:dyDescent="0.45">
      <c r="A34">
        <v>33</v>
      </c>
      <c r="B34" s="3">
        <v>44724</v>
      </c>
      <c r="C34" s="44">
        <f t="shared" si="2"/>
        <v>44724</v>
      </c>
      <c r="D34">
        <v>6143</v>
      </c>
      <c r="E34" t="str">
        <f>VLOOKUP(SalesTable[[#This Row],[Salesperson ID]],Salespeople!$A$2:$B$16,2,0)</f>
        <v>Liane Cormier</v>
      </c>
      <c r="F34">
        <v>21852</v>
      </c>
      <c r="G34" t="s">
        <v>93</v>
      </c>
      <c r="H34" t="s">
        <v>41</v>
      </c>
      <c r="I34" t="s">
        <v>70</v>
      </c>
      <c r="J34" t="str">
        <f>INDEX(Products!$A$2:$C$14,MATCH(SalesTable[[#This Row],[Product ID]],Products!$C$2:$C$14,0),2)</f>
        <v>Strawberry summer soap</v>
      </c>
      <c r="K34" s="4">
        <v>5.95</v>
      </c>
      <c r="L34" s="8">
        <v>3</v>
      </c>
      <c r="M34" s="10">
        <f t="shared" si="0"/>
        <v>17.850000000000001</v>
      </c>
      <c r="N34">
        <v>1</v>
      </c>
      <c r="O34" s="3"/>
      <c r="P34" s="2"/>
      <c r="Q34" s="10">
        <f t="shared" si="1"/>
        <v>17.850000000000001</v>
      </c>
    </row>
    <row r="35" spans="1:17" x14ac:dyDescent="0.45">
      <c r="A35">
        <v>34</v>
      </c>
      <c r="B35" s="3">
        <v>44724</v>
      </c>
      <c r="C35" s="44">
        <f t="shared" si="2"/>
        <v>44724</v>
      </c>
      <c r="D35">
        <v>5382</v>
      </c>
      <c r="E35" t="str">
        <f>VLOOKUP(SalesTable[[#This Row],[Salesperson ID]],Salespeople!$A$2:$B$16,2,0)</f>
        <v>Diya Nueimat</v>
      </c>
      <c r="F35">
        <v>17038</v>
      </c>
      <c r="G35" t="s">
        <v>94</v>
      </c>
      <c r="H35" t="s">
        <v>88</v>
      </c>
      <c r="I35" t="s">
        <v>44</v>
      </c>
      <c r="J35" t="str">
        <f>INDEX(Products!$A$2:$C$14,MATCH(SalesTable[[#This Row],[Product ID]],Products!$C$2:$C$14,0),2)</f>
        <v>Goat milk and honey cream</v>
      </c>
      <c r="K35" s="4">
        <v>12</v>
      </c>
      <c r="L35" s="8">
        <v>3</v>
      </c>
      <c r="M35" s="10">
        <f t="shared" si="0"/>
        <v>36</v>
      </c>
      <c r="N35">
        <v>0</v>
      </c>
      <c r="O35" s="3"/>
      <c r="P35" s="2"/>
      <c r="Q35" s="10">
        <f t="shared" si="1"/>
        <v>36</v>
      </c>
    </row>
    <row r="36" spans="1:17" x14ac:dyDescent="0.45">
      <c r="A36">
        <v>35</v>
      </c>
      <c r="B36" s="3">
        <v>44725</v>
      </c>
      <c r="C36" s="44">
        <f t="shared" si="2"/>
        <v>44725</v>
      </c>
      <c r="D36">
        <v>5382</v>
      </c>
      <c r="E36" t="str">
        <f>VLOOKUP(SalesTable[[#This Row],[Salesperson ID]],Salespeople!$A$2:$B$16,2,0)</f>
        <v>Diya Nueimat</v>
      </c>
      <c r="F36">
        <v>25226</v>
      </c>
      <c r="G36" t="s">
        <v>95</v>
      </c>
      <c r="H36" t="s">
        <v>96</v>
      </c>
      <c r="I36" t="s">
        <v>70</v>
      </c>
      <c r="J36" t="str">
        <f>INDEX(Products!$A$2:$C$14,MATCH(SalesTable[[#This Row],[Product ID]],Products!$C$2:$C$14,0),2)</f>
        <v>Strawberry summer soap</v>
      </c>
      <c r="K36" s="4">
        <v>5.95</v>
      </c>
      <c r="L36" s="8">
        <v>8</v>
      </c>
      <c r="M36" s="10">
        <f t="shared" si="0"/>
        <v>47.6</v>
      </c>
      <c r="N36">
        <v>3</v>
      </c>
      <c r="O36" s="3"/>
      <c r="P36" s="2"/>
      <c r="Q36" s="10">
        <f t="shared" si="1"/>
        <v>47.6</v>
      </c>
    </row>
    <row r="37" spans="1:17" x14ac:dyDescent="0.45">
      <c r="A37">
        <v>36</v>
      </c>
      <c r="B37" s="3">
        <v>44725</v>
      </c>
      <c r="C37" s="44">
        <f t="shared" si="2"/>
        <v>44725</v>
      </c>
      <c r="D37">
        <v>6678</v>
      </c>
      <c r="E37" t="str">
        <f>VLOOKUP(SalesTable[[#This Row],[Salesperson ID]],Salespeople!$A$2:$B$16,2,0)</f>
        <v>Amalia Ribeiro</v>
      </c>
      <c r="F37">
        <v>19904</v>
      </c>
      <c r="G37" t="s">
        <v>97</v>
      </c>
      <c r="H37" t="s">
        <v>98</v>
      </c>
      <c r="I37" t="s">
        <v>99</v>
      </c>
      <c r="J37" t="str">
        <f>INDEX(Products!$A$2:$C$14,MATCH(SalesTable[[#This Row],[Product ID]],Products!$C$2:$C$14,0),2)</f>
        <v>Goat milk hand and body lotion</v>
      </c>
      <c r="K37" s="4">
        <v>12</v>
      </c>
      <c r="L37" s="8">
        <v>3</v>
      </c>
      <c r="M37" s="10">
        <f t="shared" si="0"/>
        <v>36</v>
      </c>
      <c r="N37">
        <v>3</v>
      </c>
      <c r="O37" s="3"/>
      <c r="P37" s="2"/>
      <c r="Q37" s="10">
        <f t="shared" si="1"/>
        <v>36</v>
      </c>
    </row>
    <row r="38" spans="1:17" x14ac:dyDescent="0.45">
      <c r="A38">
        <v>37</v>
      </c>
      <c r="B38" s="3">
        <v>44725</v>
      </c>
      <c r="C38" s="44">
        <f t="shared" si="2"/>
        <v>44725</v>
      </c>
      <c r="D38">
        <v>6250</v>
      </c>
      <c r="E38" t="str">
        <f>VLOOKUP(SalesTable[[#This Row],[Salesperson ID]],Salespeople!$A$2:$B$16,2,0)</f>
        <v>Hu Lin</v>
      </c>
      <c r="F38">
        <v>10558</v>
      </c>
      <c r="G38" t="s">
        <v>100</v>
      </c>
      <c r="H38" t="s">
        <v>41</v>
      </c>
      <c r="I38" t="s">
        <v>64</v>
      </c>
      <c r="J38" t="str">
        <f>INDEX(Products!$A$2:$C$14,MATCH(SalesTable[[#This Row],[Product ID]],Products!$C$2:$C$14,0),2)</f>
        <v>Oatmeal soap</v>
      </c>
      <c r="K38" s="4">
        <v>5.95</v>
      </c>
      <c r="L38" s="8">
        <v>6</v>
      </c>
      <c r="M38" s="10">
        <f t="shared" si="0"/>
        <v>35.700000000000003</v>
      </c>
      <c r="N38">
        <v>3</v>
      </c>
      <c r="O38" s="3"/>
      <c r="P38" s="2"/>
      <c r="Q38" s="10">
        <f t="shared" si="1"/>
        <v>35.700000000000003</v>
      </c>
    </row>
    <row r="39" spans="1:17" x14ac:dyDescent="0.45">
      <c r="A39">
        <v>38</v>
      </c>
      <c r="B39" s="3">
        <v>44725</v>
      </c>
      <c r="C39" s="44">
        <f t="shared" si="2"/>
        <v>44725</v>
      </c>
      <c r="D39">
        <v>5418</v>
      </c>
      <c r="E39" t="str">
        <f>VLOOKUP(SalesTable[[#This Row],[Salesperson ID]],Salespeople!$A$2:$B$16,2,0)</f>
        <v>Isabell  Couture</v>
      </c>
      <c r="F39">
        <v>15288</v>
      </c>
      <c r="G39" t="s">
        <v>101</v>
      </c>
      <c r="H39" t="s">
        <v>63</v>
      </c>
      <c r="I39" t="s">
        <v>36</v>
      </c>
      <c r="J39" t="str">
        <f>INDEX(Products!$A$2:$C$14,MATCH(SalesTable[[#This Row],[Product ID]],Products!$C$2:$C$14,0),2)</f>
        <v>Goat milk soap</v>
      </c>
      <c r="K39" s="4">
        <v>5.95</v>
      </c>
      <c r="L39" s="8">
        <v>5</v>
      </c>
      <c r="M39" s="10">
        <f t="shared" si="0"/>
        <v>29.75</v>
      </c>
      <c r="N39">
        <v>2</v>
      </c>
      <c r="O39" s="3"/>
      <c r="P39" s="2"/>
      <c r="Q39" s="10">
        <f t="shared" si="1"/>
        <v>29.75</v>
      </c>
    </row>
    <row r="40" spans="1:17" x14ac:dyDescent="0.45">
      <c r="A40">
        <v>39</v>
      </c>
      <c r="B40" s="3">
        <v>44725</v>
      </c>
      <c r="C40" s="44">
        <f t="shared" si="2"/>
        <v>44725</v>
      </c>
      <c r="D40">
        <v>6250</v>
      </c>
      <c r="E40" t="str">
        <f>VLOOKUP(SalesTable[[#This Row],[Salesperson ID]],Salespeople!$A$2:$B$16,2,0)</f>
        <v>Hu Lin</v>
      </c>
      <c r="F40">
        <v>12882</v>
      </c>
      <c r="G40" t="s">
        <v>102</v>
      </c>
      <c r="H40" t="s">
        <v>88</v>
      </c>
      <c r="I40" t="s">
        <v>44</v>
      </c>
      <c r="J40" t="str">
        <f>INDEX(Products!$A$2:$C$14,MATCH(SalesTable[[#This Row],[Product ID]],Products!$C$2:$C$14,0),2)</f>
        <v>Goat milk and honey cream</v>
      </c>
      <c r="K40" s="4">
        <v>12</v>
      </c>
      <c r="L40" s="8">
        <v>8</v>
      </c>
      <c r="M40" s="10">
        <f t="shared" si="0"/>
        <v>96</v>
      </c>
      <c r="N40">
        <v>2</v>
      </c>
      <c r="O40" s="3"/>
      <c r="P40" s="2"/>
      <c r="Q40" s="10">
        <f t="shared" si="1"/>
        <v>96</v>
      </c>
    </row>
    <row r="41" spans="1:17" x14ac:dyDescent="0.45">
      <c r="A41">
        <v>40</v>
      </c>
      <c r="B41" s="3">
        <v>44725</v>
      </c>
      <c r="C41" s="44">
        <f t="shared" si="2"/>
        <v>44725</v>
      </c>
      <c r="D41">
        <v>6357</v>
      </c>
      <c r="E41" t="str">
        <f>VLOOKUP(SalesTable[[#This Row],[Salesperson ID]],Salespeople!$A$2:$B$16,2,0)</f>
        <v>Johnny Bear</v>
      </c>
      <c r="F41">
        <v>11124</v>
      </c>
      <c r="G41" t="s">
        <v>42</v>
      </c>
      <c r="H41" t="s">
        <v>43</v>
      </c>
      <c r="I41" t="s">
        <v>82</v>
      </c>
      <c r="J41" t="str">
        <f>INDEX(Products!$A$2:$C$14,MATCH(SalesTable[[#This Row],[Product ID]],Products!$C$2:$C$14,0),2)</f>
        <v>Oatmeal hand and body lotion</v>
      </c>
      <c r="K41" s="4">
        <v>12</v>
      </c>
      <c r="L41" s="8">
        <v>3</v>
      </c>
      <c r="M41" s="10">
        <f t="shared" si="0"/>
        <v>36</v>
      </c>
      <c r="N41">
        <v>3</v>
      </c>
      <c r="O41" s="3"/>
      <c r="P41" s="2"/>
      <c r="Q41" s="10">
        <f t="shared" si="1"/>
        <v>36</v>
      </c>
    </row>
    <row r="42" spans="1:17" x14ac:dyDescent="0.45">
      <c r="A42">
        <v>41</v>
      </c>
      <c r="B42" s="3">
        <v>44726</v>
      </c>
      <c r="C42" s="44">
        <f t="shared" si="2"/>
        <v>44726</v>
      </c>
      <c r="D42">
        <v>8064</v>
      </c>
      <c r="E42" t="str">
        <f>VLOOKUP(SalesTable[[#This Row],[Salesperson ID]],Salespeople!$A$2:$B$16,2,0)</f>
        <v>Amal Salazar</v>
      </c>
      <c r="F42">
        <v>20177</v>
      </c>
      <c r="G42" t="s">
        <v>103</v>
      </c>
      <c r="H42" t="s">
        <v>41</v>
      </c>
      <c r="I42" t="s">
        <v>39</v>
      </c>
      <c r="J42" t="str">
        <f>INDEX(Products!$A$2:$C$14,MATCH(SalesTable[[#This Row],[Product ID]],Products!$C$2:$C$14,0),2)</f>
        <v>Rhubarb-strawberry compote</v>
      </c>
      <c r="K42" s="4">
        <v>8</v>
      </c>
      <c r="L42" s="8">
        <v>2</v>
      </c>
      <c r="M42" s="10">
        <f t="shared" si="0"/>
        <v>16</v>
      </c>
      <c r="N42">
        <v>0</v>
      </c>
      <c r="O42" s="3"/>
      <c r="P42" s="2"/>
      <c r="Q42" s="10">
        <f t="shared" si="1"/>
        <v>16</v>
      </c>
    </row>
    <row r="43" spans="1:17" x14ac:dyDescent="0.45">
      <c r="A43">
        <v>42</v>
      </c>
      <c r="B43" s="3">
        <v>44727</v>
      </c>
      <c r="C43" s="44">
        <f t="shared" si="2"/>
        <v>44727</v>
      </c>
      <c r="D43">
        <v>8064</v>
      </c>
      <c r="E43" t="str">
        <f>VLOOKUP(SalesTable[[#This Row],[Salesperson ID]],Salespeople!$A$2:$B$16,2,0)</f>
        <v>Amal Salazar</v>
      </c>
      <c r="F43">
        <v>27995</v>
      </c>
      <c r="G43" t="s">
        <v>104</v>
      </c>
      <c r="H43" t="s">
        <v>43</v>
      </c>
      <c r="I43" t="s">
        <v>64</v>
      </c>
      <c r="J43" t="str">
        <f>INDEX(Products!$A$2:$C$14,MATCH(SalesTable[[#This Row],[Product ID]],Products!$C$2:$C$14,0),2)</f>
        <v>Oatmeal soap</v>
      </c>
      <c r="K43" s="4">
        <v>5.95</v>
      </c>
      <c r="L43" s="8">
        <v>9</v>
      </c>
      <c r="M43" s="10">
        <f t="shared" si="0"/>
        <v>53.550000000000004</v>
      </c>
      <c r="N43">
        <v>3</v>
      </c>
      <c r="O43" s="3"/>
      <c r="P43" s="2"/>
      <c r="Q43" s="10">
        <f t="shared" si="1"/>
        <v>53.550000000000004</v>
      </c>
    </row>
    <row r="44" spans="1:17" x14ac:dyDescent="0.45">
      <c r="A44">
        <v>43</v>
      </c>
      <c r="B44" s="3">
        <v>44728</v>
      </c>
      <c r="C44" s="44">
        <f t="shared" si="2"/>
        <v>44728</v>
      </c>
      <c r="D44">
        <v>6464</v>
      </c>
      <c r="E44" t="str">
        <f>VLOOKUP(SalesTable[[#This Row],[Salesperson ID]],Salespeople!$A$2:$B$16,2,0)</f>
        <v>Hamal Azzi</v>
      </c>
      <c r="F44">
        <v>18679</v>
      </c>
      <c r="G44" t="s">
        <v>105</v>
      </c>
      <c r="H44" t="s">
        <v>66</v>
      </c>
      <c r="I44" t="s">
        <v>44</v>
      </c>
      <c r="J44" t="str">
        <f>INDEX(Products!$A$2:$C$14,MATCH(SalesTable[[#This Row],[Product ID]],Products!$C$2:$C$14,0),2)</f>
        <v>Goat milk and honey cream</v>
      </c>
      <c r="K44" s="4">
        <v>12</v>
      </c>
      <c r="L44" s="8">
        <v>4</v>
      </c>
      <c r="M44" s="10">
        <f t="shared" si="0"/>
        <v>48</v>
      </c>
      <c r="N44">
        <v>2</v>
      </c>
      <c r="O44" s="3"/>
      <c r="P44" s="2"/>
      <c r="Q44" s="10">
        <f t="shared" si="1"/>
        <v>48</v>
      </c>
    </row>
    <row r="45" spans="1:17" x14ac:dyDescent="0.45">
      <c r="A45">
        <v>44</v>
      </c>
      <c r="B45" s="3">
        <v>44728</v>
      </c>
      <c r="C45" s="44">
        <f t="shared" si="2"/>
        <v>44728</v>
      </c>
      <c r="D45">
        <v>6678</v>
      </c>
      <c r="E45" t="str">
        <f>VLOOKUP(SalesTable[[#This Row],[Salesperson ID]],Salespeople!$A$2:$B$16,2,0)</f>
        <v>Amalia Ribeiro</v>
      </c>
      <c r="F45">
        <v>18436</v>
      </c>
      <c r="G45" t="s">
        <v>106</v>
      </c>
      <c r="H45" t="s">
        <v>38</v>
      </c>
      <c r="I45" t="s">
        <v>64</v>
      </c>
      <c r="J45" t="str">
        <f>INDEX(Products!$A$2:$C$14,MATCH(SalesTable[[#This Row],[Product ID]],Products!$C$2:$C$14,0),2)</f>
        <v>Oatmeal soap</v>
      </c>
      <c r="K45" s="4">
        <v>5.95</v>
      </c>
      <c r="L45" s="8">
        <v>2</v>
      </c>
      <c r="M45" s="10">
        <f t="shared" si="0"/>
        <v>11.9</v>
      </c>
      <c r="N45">
        <v>1</v>
      </c>
      <c r="O45" s="3"/>
      <c r="P45" s="2"/>
      <c r="Q45" s="10">
        <f t="shared" si="1"/>
        <v>11.9</v>
      </c>
    </row>
    <row r="46" spans="1:17" x14ac:dyDescent="0.45">
      <c r="A46">
        <v>45</v>
      </c>
      <c r="B46" s="3">
        <v>44730</v>
      </c>
      <c r="C46" s="44">
        <f t="shared" si="2"/>
        <v>44730</v>
      </c>
      <c r="D46">
        <v>5346</v>
      </c>
      <c r="E46" t="str">
        <f>VLOOKUP(SalesTable[[#This Row],[Salesperson ID]],Salespeople!$A$2:$B$16,2,0)</f>
        <v>Sergio Galvez</v>
      </c>
      <c r="F46">
        <v>19375</v>
      </c>
      <c r="G46" t="s">
        <v>107</v>
      </c>
      <c r="H46" t="s">
        <v>51</v>
      </c>
      <c r="I46" t="s">
        <v>82</v>
      </c>
      <c r="J46" t="str">
        <f>INDEX(Products!$A$2:$C$14,MATCH(SalesTable[[#This Row],[Product ID]],Products!$C$2:$C$14,0),2)</f>
        <v>Oatmeal hand and body lotion</v>
      </c>
      <c r="K46" s="4">
        <v>12</v>
      </c>
      <c r="L46" s="8">
        <v>9</v>
      </c>
      <c r="M46" s="10">
        <f t="shared" si="0"/>
        <v>108</v>
      </c>
      <c r="N46">
        <v>3</v>
      </c>
      <c r="O46" s="3"/>
      <c r="P46" s="2"/>
      <c r="Q46" s="10">
        <f t="shared" si="1"/>
        <v>108</v>
      </c>
    </row>
    <row r="47" spans="1:17" x14ac:dyDescent="0.45">
      <c r="A47">
        <v>46</v>
      </c>
      <c r="B47" s="3">
        <v>44730</v>
      </c>
      <c r="C47" s="44">
        <f t="shared" si="2"/>
        <v>44730</v>
      </c>
      <c r="D47">
        <v>8064</v>
      </c>
      <c r="E47" t="str">
        <f>VLOOKUP(SalesTable[[#This Row],[Salesperson ID]],Salespeople!$A$2:$B$16,2,0)</f>
        <v>Amal Salazar</v>
      </c>
      <c r="F47">
        <v>22015</v>
      </c>
      <c r="G47" t="s">
        <v>108</v>
      </c>
      <c r="H47" t="s">
        <v>56</v>
      </c>
      <c r="I47" t="s">
        <v>64</v>
      </c>
      <c r="J47" t="str">
        <f>INDEX(Products!$A$2:$C$14,MATCH(SalesTable[[#This Row],[Product ID]],Products!$C$2:$C$14,0),2)</f>
        <v>Oatmeal soap</v>
      </c>
      <c r="K47" s="4">
        <v>5.95</v>
      </c>
      <c r="L47" s="8">
        <v>6</v>
      </c>
      <c r="M47" s="10">
        <f t="shared" si="0"/>
        <v>35.700000000000003</v>
      </c>
      <c r="N47">
        <v>2</v>
      </c>
      <c r="O47" s="3"/>
      <c r="P47" s="2"/>
      <c r="Q47" s="10">
        <f t="shared" si="1"/>
        <v>35.700000000000003</v>
      </c>
    </row>
    <row r="48" spans="1:17" x14ac:dyDescent="0.45">
      <c r="A48">
        <v>47</v>
      </c>
      <c r="B48" s="3">
        <v>44732</v>
      </c>
      <c r="C48" s="44">
        <f t="shared" si="2"/>
        <v>44732</v>
      </c>
      <c r="D48">
        <v>6571</v>
      </c>
      <c r="E48" t="str">
        <f>VLOOKUP(SalesTable[[#This Row],[Salesperson ID]],Salespeople!$A$2:$B$16,2,0)</f>
        <v>Iker Dominguez</v>
      </c>
      <c r="F48">
        <v>28732</v>
      </c>
      <c r="G48" t="s">
        <v>109</v>
      </c>
      <c r="H48" t="s">
        <v>78</v>
      </c>
      <c r="I48" t="s">
        <v>44</v>
      </c>
      <c r="J48" t="str">
        <f>INDEX(Products!$A$2:$C$14,MATCH(SalesTable[[#This Row],[Product ID]],Products!$C$2:$C$14,0),2)</f>
        <v>Goat milk and honey cream</v>
      </c>
      <c r="K48" s="4">
        <v>12</v>
      </c>
      <c r="L48" s="8">
        <v>3</v>
      </c>
      <c r="M48" s="10">
        <f t="shared" si="0"/>
        <v>36</v>
      </c>
      <c r="N48">
        <v>2</v>
      </c>
      <c r="O48" s="3"/>
      <c r="P48" s="2"/>
      <c r="Q48" s="10">
        <f t="shared" si="1"/>
        <v>36</v>
      </c>
    </row>
    <row r="49" spans="1:17" x14ac:dyDescent="0.45">
      <c r="A49">
        <v>48</v>
      </c>
      <c r="B49" s="3">
        <v>44732</v>
      </c>
      <c r="C49" s="44">
        <f t="shared" si="2"/>
        <v>44732</v>
      </c>
      <c r="D49">
        <v>6464</v>
      </c>
      <c r="E49" t="str">
        <f>VLOOKUP(SalesTable[[#This Row],[Salesperson ID]],Salespeople!$A$2:$B$16,2,0)</f>
        <v>Hamal Azzi</v>
      </c>
      <c r="F49">
        <v>18679</v>
      </c>
      <c r="G49" t="s">
        <v>105</v>
      </c>
      <c r="H49" t="s">
        <v>66</v>
      </c>
      <c r="I49" t="s">
        <v>82</v>
      </c>
      <c r="J49" t="str">
        <f>INDEX(Products!$A$2:$C$14,MATCH(SalesTable[[#This Row],[Product ID]],Products!$C$2:$C$14,0),2)</f>
        <v>Oatmeal hand and body lotion</v>
      </c>
      <c r="K49" s="4">
        <v>12</v>
      </c>
      <c r="L49" s="8">
        <v>2</v>
      </c>
      <c r="M49" s="10">
        <f t="shared" si="0"/>
        <v>24</v>
      </c>
      <c r="N49">
        <v>1</v>
      </c>
      <c r="O49" s="3"/>
      <c r="P49" s="2"/>
      <c r="Q49" s="10">
        <f t="shared" si="1"/>
        <v>24</v>
      </c>
    </row>
    <row r="50" spans="1:17" x14ac:dyDescent="0.45">
      <c r="A50">
        <v>49</v>
      </c>
      <c r="B50" s="3">
        <v>44733</v>
      </c>
      <c r="C50" s="44">
        <f t="shared" si="2"/>
        <v>44733</v>
      </c>
      <c r="D50">
        <v>8064</v>
      </c>
      <c r="E50" t="str">
        <f>VLOOKUP(SalesTable[[#This Row],[Salesperson ID]],Salespeople!$A$2:$B$16,2,0)</f>
        <v>Amal Salazar</v>
      </c>
      <c r="F50">
        <v>24924</v>
      </c>
      <c r="G50" t="s">
        <v>110</v>
      </c>
      <c r="H50" t="s">
        <v>63</v>
      </c>
      <c r="I50" t="s">
        <v>52</v>
      </c>
      <c r="J50" t="str">
        <f>INDEX(Products!$A$2:$C$14,MATCH(SalesTable[[#This Row],[Product ID]],Products!$C$2:$C$14,0),2)</f>
        <v>Strawberry jam</v>
      </c>
      <c r="K50" s="4">
        <v>7.5</v>
      </c>
      <c r="L50" s="8">
        <v>4</v>
      </c>
      <c r="M50" s="10">
        <f t="shared" si="0"/>
        <v>30</v>
      </c>
      <c r="N50">
        <v>3</v>
      </c>
      <c r="O50" s="3"/>
      <c r="P50" s="2"/>
      <c r="Q50" s="10">
        <f t="shared" si="1"/>
        <v>30</v>
      </c>
    </row>
    <row r="51" spans="1:17" x14ac:dyDescent="0.45">
      <c r="A51">
        <v>50</v>
      </c>
      <c r="B51" s="3">
        <v>44733</v>
      </c>
      <c r="C51" s="44">
        <f t="shared" si="2"/>
        <v>44733</v>
      </c>
      <c r="D51">
        <v>6143</v>
      </c>
      <c r="E51" t="str">
        <f>VLOOKUP(SalesTable[[#This Row],[Salesperson ID]],Salespeople!$A$2:$B$16,2,0)</f>
        <v>Liane Cormier</v>
      </c>
      <c r="F51">
        <v>22713</v>
      </c>
      <c r="G51" t="s">
        <v>45</v>
      </c>
      <c r="H51" t="s">
        <v>46</v>
      </c>
      <c r="I51" t="s">
        <v>39</v>
      </c>
      <c r="J51" t="str">
        <f>INDEX(Products!$A$2:$C$14,MATCH(SalesTable[[#This Row],[Product ID]],Products!$C$2:$C$14,0),2)</f>
        <v>Rhubarb-strawberry compote</v>
      </c>
      <c r="K51" s="4">
        <v>8</v>
      </c>
      <c r="L51" s="8">
        <v>8</v>
      </c>
      <c r="M51" s="10">
        <f t="shared" si="0"/>
        <v>64</v>
      </c>
      <c r="N51">
        <v>0</v>
      </c>
      <c r="O51" s="3"/>
      <c r="P51" s="2"/>
      <c r="Q51" s="10">
        <f t="shared" si="1"/>
        <v>64</v>
      </c>
    </row>
    <row r="52" spans="1:17" x14ac:dyDescent="0.45">
      <c r="A52">
        <v>51</v>
      </c>
      <c r="B52" s="3">
        <v>44733</v>
      </c>
      <c r="C52" s="44">
        <f t="shared" si="2"/>
        <v>44733</v>
      </c>
      <c r="D52">
        <v>6250</v>
      </c>
      <c r="E52" t="str">
        <f>VLOOKUP(SalesTable[[#This Row],[Salesperson ID]],Salespeople!$A$2:$B$16,2,0)</f>
        <v>Hu Lin</v>
      </c>
      <c r="F52">
        <v>18542</v>
      </c>
      <c r="G52" t="s">
        <v>77</v>
      </c>
      <c r="H52" t="s">
        <v>78</v>
      </c>
      <c r="I52" t="s">
        <v>68</v>
      </c>
      <c r="J52" t="str">
        <f>INDEX(Products!$A$2:$C$14,MATCH(SalesTable[[#This Row],[Product ID]],Products!$C$2:$C$14,0),2)</f>
        <v>Mixed berry jam</v>
      </c>
      <c r="K52" s="4">
        <v>7.5</v>
      </c>
      <c r="L52" s="8">
        <v>7</v>
      </c>
      <c r="M52" s="10">
        <f t="shared" si="0"/>
        <v>52.5</v>
      </c>
      <c r="N52">
        <v>0</v>
      </c>
      <c r="O52" s="3"/>
      <c r="P52" s="2"/>
      <c r="Q52" s="10">
        <f t="shared" si="1"/>
        <v>52.5</v>
      </c>
    </row>
    <row r="53" spans="1:17" x14ac:dyDescent="0.45">
      <c r="A53">
        <v>52</v>
      </c>
      <c r="B53" s="3">
        <v>44733</v>
      </c>
      <c r="C53" s="44">
        <f t="shared" si="2"/>
        <v>44733</v>
      </c>
      <c r="D53">
        <v>8064</v>
      </c>
      <c r="E53" t="str">
        <f>VLOOKUP(SalesTable[[#This Row],[Salesperson ID]],Salespeople!$A$2:$B$16,2,0)</f>
        <v>Amal Salazar</v>
      </c>
      <c r="F53">
        <v>22645</v>
      </c>
      <c r="G53" t="s">
        <v>111</v>
      </c>
      <c r="H53" t="s">
        <v>41</v>
      </c>
      <c r="I53" t="s">
        <v>47</v>
      </c>
      <c r="J53" t="str">
        <f>INDEX(Products!$A$2:$C$14,MATCH(SalesTable[[#This Row],[Product ID]],Products!$C$2:$C$14,0),2)</f>
        <v>Mixed berry jelly</v>
      </c>
      <c r="K53" s="4">
        <v>7.5</v>
      </c>
      <c r="L53" s="8">
        <v>4</v>
      </c>
      <c r="M53" s="10">
        <f t="shared" si="0"/>
        <v>30</v>
      </c>
      <c r="N53">
        <v>2</v>
      </c>
      <c r="O53" s="3"/>
      <c r="P53" s="2"/>
      <c r="Q53" s="10">
        <f t="shared" si="1"/>
        <v>30</v>
      </c>
    </row>
    <row r="54" spans="1:17" x14ac:dyDescent="0.45">
      <c r="A54">
        <v>53</v>
      </c>
      <c r="B54" s="3">
        <v>44733</v>
      </c>
      <c r="C54" s="44">
        <f t="shared" si="2"/>
        <v>44733</v>
      </c>
      <c r="D54">
        <v>5454</v>
      </c>
      <c r="E54" t="str">
        <f>VLOOKUP(SalesTable[[#This Row],[Salesperson ID]],Salespeople!$A$2:$B$16,2,0)</f>
        <v>Anna Cunha</v>
      </c>
      <c r="F54">
        <v>21293</v>
      </c>
      <c r="G54" t="s">
        <v>112</v>
      </c>
      <c r="H54" t="s">
        <v>92</v>
      </c>
      <c r="I54" t="s">
        <v>64</v>
      </c>
      <c r="J54" t="str">
        <f>INDEX(Products!$A$2:$C$14,MATCH(SalesTable[[#This Row],[Product ID]],Products!$C$2:$C$14,0),2)</f>
        <v>Oatmeal soap</v>
      </c>
      <c r="K54" s="4">
        <v>5.95</v>
      </c>
      <c r="L54" s="8">
        <v>10</v>
      </c>
      <c r="M54" s="10">
        <f t="shared" si="0"/>
        <v>59.5</v>
      </c>
      <c r="N54">
        <v>2</v>
      </c>
      <c r="O54" s="3"/>
      <c r="P54" s="2"/>
      <c r="Q54" s="10">
        <f t="shared" si="1"/>
        <v>59.5</v>
      </c>
    </row>
    <row r="55" spans="1:17" x14ac:dyDescent="0.45">
      <c r="A55">
        <v>54</v>
      </c>
      <c r="B55" s="3">
        <v>44734</v>
      </c>
      <c r="C55" s="44">
        <f t="shared" si="2"/>
        <v>44734</v>
      </c>
      <c r="D55">
        <v>6892</v>
      </c>
      <c r="E55" t="str">
        <f>VLOOKUP(SalesTable[[#This Row],[Salesperson ID]],Salespeople!$A$2:$B$16,2,0)</f>
        <v>Fahd Sleiman</v>
      </c>
      <c r="F55">
        <v>21785</v>
      </c>
      <c r="G55" t="s">
        <v>113</v>
      </c>
      <c r="H55" t="s">
        <v>41</v>
      </c>
      <c r="I55" t="s">
        <v>57</v>
      </c>
      <c r="J55" t="str">
        <f>INDEX(Products!$A$2:$C$14,MATCH(SalesTable[[#This Row],[Product ID]],Products!$C$2:$C$14,0),2)</f>
        <v>Clover honey</v>
      </c>
      <c r="K55" s="4">
        <v>9</v>
      </c>
      <c r="L55" s="8">
        <v>6</v>
      </c>
      <c r="M55" s="10">
        <f t="shared" si="0"/>
        <v>54</v>
      </c>
      <c r="N55">
        <v>3</v>
      </c>
      <c r="O55" s="3"/>
      <c r="P55" s="2"/>
      <c r="Q55" s="10">
        <f t="shared" si="1"/>
        <v>54</v>
      </c>
    </row>
    <row r="56" spans="1:17" x14ac:dyDescent="0.45">
      <c r="A56">
        <v>55</v>
      </c>
      <c r="B56" s="3">
        <v>44734</v>
      </c>
      <c r="C56" s="44">
        <f t="shared" si="2"/>
        <v>44734</v>
      </c>
      <c r="D56">
        <v>8064</v>
      </c>
      <c r="E56" t="str">
        <f>VLOOKUP(SalesTable[[#This Row],[Salesperson ID]],Salespeople!$A$2:$B$16,2,0)</f>
        <v>Amal Salazar</v>
      </c>
      <c r="F56">
        <v>22911</v>
      </c>
      <c r="G56" t="s">
        <v>114</v>
      </c>
      <c r="H56" t="s">
        <v>66</v>
      </c>
      <c r="I56" t="s">
        <v>70</v>
      </c>
      <c r="J56" t="str">
        <f>INDEX(Products!$A$2:$C$14,MATCH(SalesTable[[#This Row],[Product ID]],Products!$C$2:$C$14,0),2)</f>
        <v>Strawberry summer soap</v>
      </c>
      <c r="K56" s="4">
        <v>5.95</v>
      </c>
      <c r="L56" s="8">
        <v>5</v>
      </c>
      <c r="M56" s="10">
        <f t="shared" si="0"/>
        <v>29.75</v>
      </c>
      <c r="N56">
        <v>0</v>
      </c>
      <c r="O56" s="3"/>
      <c r="P56" s="2"/>
      <c r="Q56" s="10">
        <f t="shared" si="1"/>
        <v>29.75</v>
      </c>
    </row>
    <row r="57" spans="1:17" x14ac:dyDescent="0.45">
      <c r="A57">
        <v>56</v>
      </c>
      <c r="B57" s="3">
        <v>44734</v>
      </c>
      <c r="C57" s="44">
        <f t="shared" si="2"/>
        <v>44734</v>
      </c>
      <c r="D57">
        <v>5454</v>
      </c>
      <c r="E57" t="str">
        <f>VLOOKUP(SalesTable[[#This Row],[Salesperson ID]],Salespeople!$A$2:$B$16,2,0)</f>
        <v>Anna Cunha</v>
      </c>
      <c r="F57">
        <v>22611</v>
      </c>
      <c r="G57" t="s">
        <v>115</v>
      </c>
      <c r="H57" t="s">
        <v>98</v>
      </c>
      <c r="I57" t="s">
        <v>61</v>
      </c>
      <c r="J57" t="str">
        <f>INDEX(Products!$A$2:$C$14,MATCH(SalesTable[[#This Row],[Product ID]],Products!$C$2:$C$14,0),2)</f>
        <v>Buckwheat honey</v>
      </c>
      <c r="K57" s="4">
        <v>9</v>
      </c>
      <c r="L57" s="8">
        <v>4</v>
      </c>
      <c r="M57" s="10">
        <f t="shared" si="0"/>
        <v>36</v>
      </c>
      <c r="N57">
        <v>1</v>
      </c>
      <c r="O57" s="3"/>
      <c r="P57" s="2"/>
      <c r="Q57" s="10">
        <f t="shared" si="1"/>
        <v>36</v>
      </c>
    </row>
    <row r="58" spans="1:17" x14ac:dyDescent="0.45">
      <c r="A58">
        <v>57</v>
      </c>
      <c r="B58" s="3">
        <v>44734</v>
      </c>
      <c r="C58" s="44">
        <f t="shared" si="2"/>
        <v>44734</v>
      </c>
      <c r="D58">
        <v>6892</v>
      </c>
      <c r="E58" t="str">
        <f>VLOOKUP(SalesTable[[#This Row],[Salesperson ID]],Salespeople!$A$2:$B$16,2,0)</f>
        <v>Fahd Sleiman</v>
      </c>
      <c r="F58">
        <v>24142</v>
      </c>
      <c r="G58" t="s">
        <v>116</v>
      </c>
      <c r="H58" t="s">
        <v>88</v>
      </c>
      <c r="I58" t="s">
        <v>36</v>
      </c>
      <c r="J58" t="str">
        <f>INDEX(Products!$A$2:$C$14,MATCH(SalesTable[[#This Row],[Product ID]],Products!$C$2:$C$14,0),2)</f>
        <v>Goat milk soap</v>
      </c>
      <c r="K58" s="4">
        <v>5.95</v>
      </c>
      <c r="L58" s="8">
        <v>4</v>
      </c>
      <c r="M58" s="10">
        <f t="shared" si="0"/>
        <v>23.8</v>
      </c>
      <c r="N58">
        <v>2</v>
      </c>
      <c r="O58" s="3"/>
      <c r="P58" s="2"/>
      <c r="Q58" s="10">
        <f t="shared" si="1"/>
        <v>23.8</v>
      </c>
    </row>
    <row r="59" spans="1:17" x14ac:dyDescent="0.45">
      <c r="A59">
        <v>58</v>
      </c>
      <c r="B59" s="3">
        <v>44734</v>
      </c>
      <c r="C59" s="44">
        <f t="shared" si="2"/>
        <v>44734</v>
      </c>
      <c r="D59">
        <v>8064</v>
      </c>
      <c r="E59" t="str">
        <f>VLOOKUP(SalesTable[[#This Row],[Salesperson ID]],Salespeople!$A$2:$B$16,2,0)</f>
        <v>Amal Salazar</v>
      </c>
      <c r="F59">
        <v>25355</v>
      </c>
      <c r="G59" t="s">
        <v>117</v>
      </c>
      <c r="H59" t="s">
        <v>98</v>
      </c>
      <c r="I59" t="s">
        <v>99</v>
      </c>
      <c r="J59" t="str">
        <f>INDEX(Products!$A$2:$C$14,MATCH(SalesTable[[#This Row],[Product ID]],Products!$C$2:$C$14,0),2)</f>
        <v>Goat milk hand and body lotion</v>
      </c>
      <c r="K59" s="4">
        <v>12</v>
      </c>
      <c r="L59" s="8">
        <v>8</v>
      </c>
      <c r="M59" s="10">
        <f t="shared" si="0"/>
        <v>96</v>
      </c>
      <c r="N59">
        <v>0</v>
      </c>
      <c r="O59" s="3"/>
      <c r="P59" s="2"/>
      <c r="Q59" s="10">
        <f t="shared" si="1"/>
        <v>96</v>
      </c>
    </row>
    <row r="60" spans="1:17" x14ac:dyDescent="0.45">
      <c r="A60">
        <v>59</v>
      </c>
      <c r="B60" s="3">
        <v>44734</v>
      </c>
      <c r="C60" s="44">
        <f t="shared" si="2"/>
        <v>44734</v>
      </c>
      <c r="D60">
        <v>5400</v>
      </c>
      <c r="E60" t="str">
        <f>VLOOKUP(SalesTable[[#This Row],[Salesperson ID]],Salespeople!$A$2:$B$16,2,0)</f>
        <v>Maisha Karzai</v>
      </c>
      <c r="F60">
        <v>26269</v>
      </c>
      <c r="G60" t="s">
        <v>118</v>
      </c>
      <c r="H60" t="s">
        <v>96</v>
      </c>
      <c r="I60" t="s">
        <v>68</v>
      </c>
      <c r="J60" t="str">
        <f>INDEX(Products!$A$2:$C$14,MATCH(SalesTable[[#This Row],[Product ID]],Products!$C$2:$C$14,0),2)</f>
        <v>Mixed berry jam</v>
      </c>
      <c r="K60" s="4">
        <v>7.5</v>
      </c>
      <c r="L60" s="8">
        <v>9</v>
      </c>
      <c r="M60" s="10">
        <f t="shared" si="0"/>
        <v>67.5</v>
      </c>
      <c r="N60">
        <v>2</v>
      </c>
      <c r="O60" s="3"/>
      <c r="P60" s="2"/>
      <c r="Q60" s="10">
        <f t="shared" si="1"/>
        <v>67.5</v>
      </c>
    </row>
    <row r="61" spans="1:17" x14ac:dyDescent="0.45">
      <c r="A61">
        <v>60</v>
      </c>
      <c r="B61" s="3">
        <v>44735</v>
      </c>
      <c r="C61" s="44">
        <f t="shared" si="2"/>
        <v>44735</v>
      </c>
      <c r="D61">
        <v>8064</v>
      </c>
      <c r="E61" t="str">
        <f>VLOOKUP(SalesTable[[#This Row],[Salesperson ID]],Salespeople!$A$2:$B$16,2,0)</f>
        <v>Amal Salazar</v>
      </c>
      <c r="F61">
        <v>23455</v>
      </c>
      <c r="G61" t="s">
        <v>119</v>
      </c>
      <c r="H61" t="s">
        <v>46</v>
      </c>
      <c r="I61" t="s">
        <v>64</v>
      </c>
      <c r="J61" t="str">
        <f>INDEX(Products!$A$2:$C$14,MATCH(SalesTable[[#This Row],[Product ID]],Products!$C$2:$C$14,0),2)</f>
        <v>Oatmeal soap</v>
      </c>
      <c r="K61" s="4">
        <v>5.95</v>
      </c>
      <c r="L61" s="8">
        <v>1</v>
      </c>
      <c r="M61" s="10">
        <f t="shared" si="0"/>
        <v>5.95</v>
      </c>
      <c r="N61">
        <v>0</v>
      </c>
      <c r="O61" s="3"/>
      <c r="P61" s="2"/>
      <c r="Q61" s="10">
        <f t="shared" si="1"/>
        <v>5.95</v>
      </c>
    </row>
    <row r="62" spans="1:17" x14ac:dyDescent="0.45">
      <c r="A62">
        <v>61</v>
      </c>
      <c r="B62" s="3">
        <v>44735</v>
      </c>
      <c r="C62" s="44">
        <f t="shared" si="2"/>
        <v>44735</v>
      </c>
      <c r="D62">
        <v>6678</v>
      </c>
      <c r="E62" t="str">
        <f>VLOOKUP(SalesTable[[#This Row],[Salesperson ID]],Salespeople!$A$2:$B$16,2,0)</f>
        <v>Amalia Ribeiro</v>
      </c>
      <c r="F62">
        <v>13014</v>
      </c>
      <c r="G62" t="s">
        <v>120</v>
      </c>
      <c r="H62" t="s">
        <v>51</v>
      </c>
      <c r="I62" t="s">
        <v>39</v>
      </c>
      <c r="J62" t="str">
        <f>INDEX(Products!$A$2:$C$14,MATCH(SalesTable[[#This Row],[Product ID]],Products!$C$2:$C$14,0),2)</f>
        <v>Rhubarb-strawberry compote</v>
      </c>
      <c r="K62" s="4">
        <v>8</v>
      </c>
      <c r="L62" s="8">
        <v>8</v>
      </c>
      <c r="M62" s="10">
        <f t="shared" si="0"/>
        <v>64</v>
      </c>
      <c r="N62">
        <v>3</v>
      </c>
      <c r="O62" s="3"/>
      <c r="P62" s="2"/>
      <c r="Q62" s="10">
        <f t="shared" si="1"/>
        <v>64</v>
      </c>
    </row>
    <row r="63" spans="1:17" x14ac:dyDescent="0.45">
      <c r="A63">
        <v>62</v>
      </c>
      <c r="B63" s="3">
        <v>44736</v>
      </c>
      <c r="C63" s="44">
        <f t="shared" si="2"/>
        <v>44736</v>
      </c>
      <c r="D63">
        <v>5454</v>
      </c>
      <c r="E63" t="str">
        <f>VLOOKUP(SalesTable[[#This Row],[Salesperson ID]],Salespeople!$A$2:$B$16,2,0)</f>
        <v>Anna Cunha</v>
      </c>
      <c r="F63">
        <v>11347</v>
      </c>
      <c r="G63" t="s">
        <v>121</v>
      </c>
      <c r="H63" t="s">
        <v>84</v>
      </c>
      <c r="I63" t="s">
        <v>47</v>
      </c>
      <c r="J63" t="str">
        <f>INDEX(Products!$A$2:$C$14,MATCH(SalesTable[[#This Row],[Product ID]],Products!$C$2:$C$14,0),2)</f>
        <v>Mixed berry jelly</v>
      </c>
      <c r="K63" s="4">
        <v>7.5</v>
      </c>
      <c r="L63" s="8">
        <v>1</v>
      </c>
      <c r="M63" s="10">
        <f t="shared" si="0"/>
        <v>7.5</v>
      </c>
      <c r="N63">
        <v>0</v>
      </c>
      <c r="O63" s="3"/>
      <c r="P63" s="2"/>
      <c r="Q63" s="10">
        <f t="shared" si="1"/>
        <v>7.5</v>
      </c>
    </row>
    <row r="64" spans="1:17" x14ac:dyDescent="0.45">
      <c r="A64">
        <v>63</v>
      </c>
      <c r="B64" s="3">
        <v>44737</v>
      </c>
      <c r="C64" s="44">
        <f t="shared" si="2"/>
        <v>44737</v>
      </c>
      <c r="D64">
        <v>1384</v>
      </c>
      <c r="E64" t="str">
        <f>VLOOKUP(SalesTable[[#This Row],[Salesperson ID]],Salespeople!$A$2:$B$16,2,0)</f>
        <v>Igor Almeida</v>
      </c>
      <c r="F64">
        <v>17252</v>
      </c>
      <c r="G64" t="s">
        <v>122</v>
      </c>
      <c r="H64" t="s">
        <v>78</v>
      </c>
      <c r="I64" t="s">
        <v>57</v>
      </c>
      <c r="J64" t="str">
        <f>INDEX(Products!$A$2:$C$14,MATCH(SalesTable[[#This Row],[Product ID]],Products!$C$2:$C$14,0),2)</f>
        <v>Clover honey</v>
      </c>
      <c r="K64" s="4">
        <v>9</v>
      </c>
      <c r="L64" s="8">
        <v>5</v>
      </c>
      <c r="M64" s="10">
        <f t="shared" si="0"/>
        <v>45</v>
      </c>
      <c r="N64">
        <v>1</v>
      </c>
      <c r="O64" s="3"/>
      <c r="P64" s="2"/>
      <c r="Q64" s="10">
        <f t="shared" si="1"/>
        <v>45</v>
      </c>
    </row>
    <row r="65" spans="1:17" x14ac:dyDescent="0.45">
      <c r="A65">
        <v>64</v>
      </c>
      <c r="B65" s="3">
        <v>44737</v>
      </c>
      <c r="C65" s="44">
        <f t="shared" si="2"/>
        <v>44737</v>
      </c>
      <c r="D65">
        <v>6678</v>
      </c>
      <c r="E65" t="str">
        <f>VLOOKUP(SalesTable[[#This Row],[Salesperson ID]],Salespeople!$A$2:$B$16,2,0)</f>
        <v>Amalia Ribeiro</v>
      </c>
      <c r="F65">
        <v>12883</v>
      </c>
      <c r="G65" t="s">
        <v>123</v>
      </c>
      <c r="H65" t="s">
        <v>56</v>
      </c>
      <c r="I65" t="s">
        <v>82</v>
      </c>
      <c r="J65" t="str">
        <f>INDEX(Products!$A$2:$C$14,MATCH(SalesTable[[#This Row],[Product ID]],Products!$C$2:$C$14,0),2)</f>
        <v>Oatmeal hand and body lotion</v>
      </c>
      <c r="K65" s="4">
        <v>12</v>
      </c>
      <c r="L65" s="8">
        <v>3</v>
      </c>
      <c r="M65" s="10">
        <f t="shared" si="0"/>
        <v>36</v>
      </c>
      <c r="N65">
        <v>2</v>
      </c>
      <c r="O65" s="3"/>
      <c r="P65" s="2"/>
      <c r="Q65" s="10">
        <f t="shared" si="1"/>
        <v>36</v>
      </c>
    </row>
    <row r="66" spans="1:17" x14ac:dyDescent="0.45">
      <c r="A66">
        <v>65</v>
      </c>
      <c r="B66" s="3">
        <v>44738</v>
      </c>
      <c r="C66" s="44">
        <f t="shared" si="2"/>
        <v>44738</v>
      </c>
      <c r="D66">
        <v>8064</v>
      </c>
      <c r="E66" t="str">
        <f>VLOOKUP(SalesTable[[#This Row],[Salesperson ID]],Salespeople!$A$2:$B$16,2,0)</f>
        <v>Amal Salazar</v>
      </c>
      <c r="F66">
        <v>17067</v>
      </c>
      <c r="G66" t="s">
        <v>124</v>
      </c>
      <c r="H66" t="s">
        <v>54</v>
      </c>
      <c r="I66" t="s">
        <v>57</v>
      </c>
      <c r="J66" t="str">
        <f>INDEX(Products!$A$2:$C$14,MATCH(SalesTable[[#This Row],[Product ID]],Products!$C$2:$C$14,0),2)</f>
        <v>Clover honey</v>
      </c>
      <c r="K66" s="4">
        <v>9</v>
      </c>
      <c r="L66" s="8">
        <v>2</v>
      </c>
      <c r="M66" s="10">
        <f t="shared" ref="M66:M129" si="3">K66*L66</f>
        <v>18</v>
      </c>
      <c r="N66">
        <v>3</v>
      </c>
      <c r="O66" s="3"/>
      <c r="P66" s="2"/>
      <c r="Q66" s="10">
        <f t="shared" ref="Q66:Q129" si="4">M66-M66*P66</f>
        <v>18</v>
      </c>
    </row>
    <row r="67" spans="1:17" x14ac:dyDescent="0.45">
      <c r="A67">
        <v>66</v>
      </c>
      <c r="B67" s="3">
        <v>44738</v>
      </c>
      <c r="C67" s="44">
        <f t="shared" ref="C67:C130" si="5">B67</f>
        <v>44738</v>
      </c>
      <c r="D67">
        <v>5454</v>
      </c>
      <c r="E67" t="str">
        <f>VLOOKUP(SalesTable[[#This Row],[Salesperson ID]],Salespeople!$A$2:$B$16,2,0)</f>
        <v>Anna Cunha</v>
      </c>
      <c r="F67">
        <v>16272</v>
      </c>
      <c r="G67" t="s">
        <v>125</v>
      </c>
      <c r="H67" t="s">
        <v>41</v>
      </c>
      <c r="I67" t="s">
        <v>82</v>
      </c>
      <c r="J67" t="str">
        <f>INDEX(Products!$A$2:$C$14,MATCH(SalesTable[[#This Row],[Product ID]],Products!$C$2:$C$14,0),2)</f>
        <v>Oatmeal hand and body lotion</v>
      </c>
      <c r="K67" s="4">
        <v>12</v>
      </c>
      <c r="L67" s="8">
        <v>4</v>
      </c>
      <c r="M67" s="10">
        <f t="shared" si="3"/>
        <v>48</v>
      </c>
      <c r="N67">
        <v>2</v>
      </c>
      <c r="O67" s="3"/>
      <c r="P67" s="2"/>
      <c r="Q67" s="10">
        <f t="shared" si="4"/>
        <v>48</v>
      </c>
    </row>
    <row r="68" spans="1:17" x14ac:dyDescent="0.45">
      <c r="A68">
        <v>67</v>
      </c>
      <c r="B68" s="3">
        <v>44739</v>
      </c>
      <c r="C68" s="44">
        <f t="shared" si="5"/>
        <v>44739</v>
      </c>
      <c r="D68">
        <v>8064</v>
      </c>
      <c r="E68" t="str">
        <f>VLOOKUP(SalesTable[[#This Row],[Salesperson ID]],Salespeople!$A$2:$B$16,2,0)</f>
        <v>Amal Salazar</v>
      </c>
      <c r="F68">
        <v>21104</v>
      </c>
      <c r="G68" t="s">
        <v>126</v>
      </c>
      <c r="H68" t="s">
        <v>51</v>
      </c>
      <c r="I68" t="s">
        <v>36</v>
      </c>
      <c r="J68" t="str">
        <f>INDEX(Products!$A$2:$C$14,MATCH(SalesTable[[#This Row],[Product ID]],Products!$C$2:$C$14,0),2)</f>
        <v>Goat milk soap</v>
      </c>
      <c r="K68" s="4">
        <v>5.95</v>
      </c>
      <c r="L68" s="8">
        <v>10</v>
      </c>
      <c r="M68" s="10">
        <f t="shared" si="3"/>
        <v>59.5</v>
      </c>
      <c r="N68">
        <v>3</v>
      </c>
      <c r="O68" s="3"/>
      <c r="P68" s="2"/>
      <c r="Q68" s="10">
        <f t="shared" si="4"/>
        <v>59.5</v>
      </c>
    </row>
    <row r="69" spans="1:17" x14ac:dyDescent="0.45">
      <c r="A69">
        <v>68</v>
      </c>
      <c r="B69" s="3">
        <v>44740</v>
      </c>
      <c r="C69" s="44">
        <f t="shared" si="5"/>
        <v>44740</v>
      </c>
      <c r="D69">
        <v>6464</v>
      </c>
      <c r="E69" t="str">
        <f>VLOOKUP(SalesTable[[#This Row],[Salesperson ID]],Salespeople!$A$2:$B$16,2,0)</f>
        <v>Hamal Azzi</v>
      </c>
      <c r="F69">
        <v>22708</v>
      </c>
      <c r="G69" t="s">
        <v>127</v>
      </c>
      <c r="H69" t="s">
        <v>63</v>
      </c>
      <c r="I69" t="s">
        <v>61</v>
      </c>
      <c r="J69" t="str">
        <f>INDEX(Products!$A$2:$C$14,MATCH(SalesTable[[#This Row],[Product ID]],Products!$C$2:$C$14,0),2)</f>
        <v>Buckwheat honey</v>
      </c>
      <c r="K69" s="4">
        <v>9</v>
      </c>
      <c r="L69" s="8">
        <v>1</v>
      </c>
      <c r="M69" s="10">
        <f t="shared" si="3"/>
        <v>9</v>
      </c>
      <c r="N69">
        <v>3</v>
      </c>
      <c r="O69" s="3"/>
      <c r="P69" s="2"/>
      <c r="Q69" s="10">
        <f t="shared" si="4"/>
        <v>9</v>
      </c>
    </row>
    <row r="70" spans="1:17" x14ac:dyDescent="0.45">
      <c r="A70">
        <v>69</v>
      </c>
      <c r="B70" s="3">
        <v>44740</v>
      </c>
      <c r="C70" s="44">
        <f t="shared" si="5"/>
        <v>44740</v>
      </c>
      <c r="D70">
        <v>6892</v>
      </c>
      <c r="E70" t="str">
        <f>VLOOKUP(SalesTable[[#This Row],[Salesperson ID]],Salespeople!$A$2:$B$16,2,0)</f>
        <v>Fahd Sleiman</v>
      </c>
      <c r="F70">
        <v>18495</v>
      </c>
      <c r="G70" t="s">
        <v>76</v>
      </c>
      <c r="H70" t="s">
        <v>41</v>
      </c>
      <c r="I70" t="s">
        <v>64</v>
      </c>
      <c r="J70" t="str">
        <f>INDEX(Products!$A$2:$C$14,MATCH(SalesTable[[#This Row],[Product ID]],Products!$C$2:$C$14,0),2)</f>
        <v>Oatmeal soap</v>
      </c>
      <c r="K70" s="4">
        <v>5.95</v>
      </c>
      <c r="L70" s="8">
        <v>7</v>
      </c>
      <c r="M70" s="10">
        <f t="shared" si="3"/>
        <v>41.65</v>
      </c>
      <c r="N70">
        <v>2</v>
      </c>
      <c r="O70" s="3"/>
      <c r="P70" s="2"/>
      <c r="Q70" s="10">
        <f t="shared" si="4"/>
        <v>41.65</v>
      </c>
    </row>
    <row r="71" spans="1:17" x14ac:dyDescent="0.45">
      <c r="A71">
        <v>70</v>
      </c>
      <c r="B71" s="3">
        <v>44740</v>
      </c>
      <c r="C71" s="44">
        <f t="shared" si="5"/>
        <v>44740</v>
      </c>
      <c r="D71">
        <v>5382</v>
      </c>
      <c r="E71" t="str">
        <f>VLOOKUP(SalesTable[[#This Row],[Salesperson ID]],Salespeople!$A$2:$B$16,2,0)</f>
        <v>Diya Nueimat</v>
      </c>
      <c r="F71">
        <v>18854</v>
      </c>
      <c r="G71" t="s">
        <v>79</v>
      </c>
      <c r="H71" t="s">
        <v>35</v>
      </c>
      <c r="I71" t="s">
        <v>68</v>
      </c>
      <c r="J71" t="str">
        <f>INDEX(Products!$A$2:$C$14,MATCH(SalesTable[[#This Row],[Product ID]],Products!$C$2:$C$14,0),2)</f>
        <v>Mixed berry jam</v>
      </c>
      <c r="K71" s="4">
        <v>7.5</v>
      </c>
      <c r="L71" s="8">
        <v>1</v>
      </c>
      <c r="M71" s="10">
        <f t="shared" si="3"/>
        <v>7.5</v>
      </c>
      <c r="N71">
        <v>3</v>
      </c>
      <c r="O71" s="3"/>
      <c r="P71" s="2"/>
      <c r="Q71" s="10">
        <f t="shared" si="4"/>
        <v>7.5</v>
      </c>
    </row>
    <row r="72" spans="1:17" x14ac:dyDescent="0.45">
      <c r="A72">
        <v>71</v>
      </c>
      <c r="B72" s="3">
        <v>44740</v>
      </c>
      <c r="C72" s="44">
        <f t="shared" si="5"/>
        <v>44740</v>
      </c>
      <c r="D72">
        <v>8064</v>
      </c>
      <c r="E72" t="str">
        <f>VLOOKUP(SalesTable[[#This Row],[Salesperson ID]],Salespeople!$A$2:$B$16,2,0)</f>
        <v>Amal Salazar</v>
      </c>
      <c r="F72">
        <v>21064</v>
      </c>
      <c r="G72" t="s">
        <v>50</v>
      </c>
      <c r="H72" t="s">
        <v>51</v>
      </c>
      <c r="I72" t="s">
        <v>68</v>
      </c>
      <c r="J72" t="str">
        <f>INDEX(Products!$A$2:$C$14,MATCH(SalesTable[[#This Row],[Product ID]],Products!$C$2:$C$14,0),2)</f>
        <v>Mixed berry jam</v>
      </c>
      <c r="K72" s="4">
        <v>7.5</v>
      </c>
      <c r="L72" s="8">
        <v>9</v>
      </c>
      <c r="M72" s="10">
        <f t="shared" si="3"/>
        <v>67.5</v>
      </c>
      <c r="N72">
        <v>0</v>
      </c>
      <c r="O72" s="3"/>
      <c r="P72" s="2"/>
      <c r="Q72" s="10">
        <f t="shared" si="4"/>
        <v>67.5</v>
      </c>
    </row>
    <row r="73" spans="1:17" x14ac:dyDescent="0.45">
      <c r="A73">
        <v>72</v>
      </c>
      <c r="B73" s="3">
        <v>44741</v>
      </c>
      <c r="C73" s="44">
        <f t="shared" si="5"/>
        <v>44741</v>
      </c>
      <c r="D73">
        <v>5454</v>
      </c>
      <c r="E73" t="str">
        <f>VLOOKUP(SalesTable[[#This Row],[Salesperson ID]],Salespeople!$A$2:$B$16,2,0)</f>
        <v>Anna Cunha</v>
      </c>
      <c r="F73">
        <v>10340</v>
      </c>
      <c r="G73" t="s">
        <v>128</v>
      </c>
      <c r="H73" t="s">
        <v>63</v>
      </c>
      <c r="I73" t="s">
        <v>99</v>
      </c>
      <c r="J73" t="str">
        <f>INDEX(Products!$A$2:$C$14,MATCH(SalesTable[[#This Row],[Product ID]],Products!$C$2:$C$14,0),2)</f>
        <v>Goat milk hand and body lotion</v>
      </c>
      <c r="K73" s="4">
        <v>12</v>
      </c>
      <c r="L73" s="8">
        <v>7</v>
      </c>
      <c r="M73" s="10">
        <f t="shared" si="3"/>
        <v>84</v>
      </c>
      <c r="N73">
        <v>0</v>
      </c>
      <c r="O73" s="3"/>
      <c r="P73" s="2"/>
      <c r="Q73" s="10">
        <f t="shared" si="4"/>
        <v>84</v>
      </c>
    </row>
    <row r="74" spans="1:17" x14ac:dyDescent="0.45">
      <c r="A74">
        <v>73</v>
      </c>
      <c r="B74" s="3">
        <v>44742</v>
      </c>
      <c r="C74" s="44">
        <f t="shared" si="5"/>
        <v>44742</v>
      </c>
      <c r="D74">
        <v>6464</v>
      </c>
      <c r="E74" t="str">
        <f>VLOOKUP(SalesTable[[#This Row],[Salesperson ID]],Salespeople!$A$2:$B$16,2,0)</f>
        <v>Hamal Azzi</v>
      </c>
      <c r="F74">
        <v>18265</v>
      </c>
      <c r="G74" t="s">
        <v>129</v>
      </c>
      <c r="H74" t="s">
        <v>51</v>
      </c>
      <c r="I74" t="s">
        <v>70</v>
      </c>
      <c r="J74" t="str">
        <f>INDEX(Products!$A$2:$C$14,MATCH(SalesTable[[#This Row],[Product ID]],Products!$C$2:$C$14,0),2)</f>
        <v>Strawberry summer soap</v>
      </c>
      <c r="K74" s="4">
        <v>5.95</v>
      </c>
      <c r="L74" s="8">
        <v>9</v>
      </c>
      <c r="M74" s="10">
        <f t="shared" si="3"/>
        <v>53.550000000000004</v>
      </c>
      <c r="N74">
        <v>2</v>
      </c>
      <c r="O74" s="3"/>
      <c r="P74" s="2"/>
      <c r="Q74" s="10">
        <f t="shared" si="4"/>
        <v>53.550000000000004</v>
      </c>
    </row>
    <row r="75" spans="1:17" x14ac:dyDescent="0.45">
      <c r="A75">
        <v>74</v>
      </c>
      <c r="B75" s="3">
        <v>44743</v>
      </c>
      <c r="C75" s="44">
        <f t="shared" si="5"/>
        <v>44743</v>
      </c>
      <c r="D75">
        <v>5454</v>
      </c>
      <c r="E75" t="str">
        <f>VLOOKUP(SalesTable[[#This Row],[Salesperson ID]],Salespeople!$A$2:$B$16,2,0)</f>
        <v>Anna Cunha</v>
      </c>
      <c r="F75">
        <v>13739</v>
      </c>
      <c r="G75" t="s">
        <v>130</v>
      </c>
      <c r="H75" t="s">
        <v>46</v>
      </c>
      <c r="I75" t="s">
        <v>59</v>
      </c>
      <c r="J75" t="str">
        <f>INDEX(Products!$A$2:$C$14,MATCH(SalesTable[[#This Row],[Product ID]],Products!$C$2:$C$14,0),2)</f>
        <v>Wildflower honey</v>
      </c>
      <c r="K75" s="4">
        <v>9</v>
      </c>
      <c r="L75" s="8">
        <v>3</v>
      </c>
      <c r="M75" s="10">
        <f t="shared" si="3"/>
        <v>27</v>
      </c>
      <c r="N75">
        <v>1</v>
      </c>
      <c r="O75" s="3"/>
      <c r="P75" s="2"/>
      <c r="Q75" s="10">
        <f t="shared" si="4"/>
        <v>27</v>
      </c>
    </row>
    <row r="76" spans="1:17" x14ac:dyDescent="0.45">
      <c r="A76">
        <v>75</v>
      </c>
      <c r="B76" s="3">
        <v>44743</v>
      </c>
      <c r="C76" s="44">
        <f t="shared" si="5"/>
        <v>44743</v>
      </c>
      <c r="D76">
        <v>1384</v>
      </c>
      <c r="E76" t="str">
        <f>VLOOKUP(SalesTable[[#This Row],[Salesperson ID]],Salespeople!$A$2:$B$16,2,0)</f>
        <v>Igor Almeida</v>
      </c>
      <c r="F76">
        <v>10075</v>
      </c>
      <c r="G76" t="s">
        <v>131</v>
      </c>
      <c r="H76" t="s">
        <v>41</v>
      </c>
      <c r="I76" t="s">
        <v>57</v>
      </c>
      <c r="J76" t="str">
        <f>INDEX(Products!$A$2:$C$14,MATCH(SalesTable[[#This Row],[Product ID]],Products!$C$2:$C$14,0),2)</f>
        <v>Clover honey</v>
      </c>
      <c r="K76" s="4">
        <v>9</v>
      </c>
      <c r="L76" s="8">
        <v>9</v>
      </c>
      <c r="M76" s="10">
        <f t="shared" si="3"/>
        <v>81</v>
      </c>
      <c r="N76">
        <v>1</v>
      </c>
      <c r="O76" s="3"/>
      <c r="P76" s="2"/>
      <c r="Q76" s="10">
        <f t="shared" si="4"/>
        <v>81</v>
      </c>
    </row>
    <row r="77" spans="1:17" x14ac:dyDescent="0.45">
      <c r="A77">
        <v>76</v>
      </c>
      <c r="B77" s="3">
        <v>44744</v>
      </c>
      <c r="C77" s="44">
        <f t="shared" si="5"/>
        <v>44744</v>
      </c>
      <c r="D77">
        <v>6143</v>
      </c>
      <c r="E77" t="str">
        <f>VLOOKUP(SalesTable[[#This Row],[Salesperson ID]],Salespeople!$A$2:$B$16,2,0)</f>
        <v>Liane Cormier</v>
      </c>
      <c r="F77">
        <v>10061</v>
      </c>
      <c r="G77" t="s">
        <v>132</v>
      </c>
      <c r="H77" t="s">
        <v>41</v>
      </c>
      <c r="I77" t="s">
        <v>57</v>
      </c>
      <c r="J77" t="str">
        <f>INDEX(Products!$A$2:$C$14,MATCH(SalesTable[[#This Row],[Product ID]],Products!$C$2:$C$14,0),2)</f>
        <v>Clover honey</v>
      </c>
      <c r="K77" s="4">
        <v>9</v>
      </c>
      <c r="L77" s="8">
        <v>5</v>
      </c>
      <c r="M77" s="10">
        <f t="shared" si="3"/>
        <v>45</v>
      </c>
      <c r="N77">
        <v>0</v>
      </c>
      <c r="O77" s="3"/>
      <c r="P77" s="2"/>
      <c r="Q77" s="10">
        <f t="shared" si="4"/>
        <v>45</v>
      </c>
    </row>
    <row r="78" spans="1:17" x14ac:dyDescent="0.45">
      <c r="A78">
        <v>77</v>
      </c>
      <c r="B78" s="3">
        <v>44744</v>
      </c>
      <c r="C78" s="44">
        <f t="shared" si="5"/>
        <v>44744</v>
      </c>
      <c r="D78">
        <v>6892</v>
      </c>
      <c r="E78" t="str">
        <f>VLOOKUP(SalesTable[[#This Row],[Salesperson ID]],Salespeople!$A$2:$B$16,2,0)</f>
        <v>Fahd Sleiman</v>
      </c>
      <c r="F78">
        <v>12793</v>
      </c>
      <c r="G78" t="s">
        <v>133</v>
      </c>
      <c r="H78" t="s">
        <v>63</v>
      </c>
      <c r="I78" t="s">
        <v>36</v>
      </c>
      <c r="J78" t="str">
        <f>INDEX(Products!$A$2:$C$14,MATCH(SalesTable[[#This Row],[Product ID]],Products!$C$2:$C$14,0),2)</f>
        <v>Goat milk soap</v>
      </c>
      <c r="K78" s="4">
        <v>5.95</v>
      </c>
      <c r="L78" s="8">
        <v>1</v>
      </c>
      <c r="M78" s="10">
        <f t="shared" si="3"/>
        <v>5.95</v>
      </c>
      <c r="N78">
        <v>3</v>
      </c>
      <c r="O78" s="3"/>
      <c r="P78" s="2"/>
      <c r="Q78" s="10">
        <f t="shared" si="4"/>
        <v>5.95</v>
      </c>
    </row>
    <row r="79" spans="1:17" x14ac:dyDescent="0.45">
      <c r="A79">
        <v>78</v>
      </c>
      <c r="B79" s="3">
        <v>44745</v>
      </c>
      <c r="C79" s="44">
        <f t="shared" si="5"/>
        <v>44745</v>
      </c>
      <c r="D79">
        <v>6464</v>
      </c>
      <c r="E79" t="str">
        <f>VLOOKUP(SalesTable[[#This Row],[Salesperson ID]],Salespeople!$A$2:$B$16,2,0)</f>
        <v>Hamal Azzi</v>
      </c>
      <c r="F79">
        <v>18436</v>
      </c>
      <c r="G79" t="s">
        <v>106</v>
      </c>
      <c r="H79" t="s">
        <v>38</v>
      </c>
      <c r="I79" t="s">
        <v>70</v>
      </c>
      <c r="J79" t="str">
        <f>INDEX(Products!$A$2:$C$14,MATCH(SalesTable[[#This Row],[Product ID]],Products!$C$2:$C$14,0),2)</f>
        <v>Strawberry summer soap</v>
      </c>
      <c r="K79" s="4">
        <v>5.95</v>
      </c>
      <c r="L79" s="8">
        <v>1</v>
      </c>
      <c r="M79" s="10">
        <f t="shared" si="3"/>
        <v>5.95</v>
      </c>
      <c r="N79">
        <v>0</v>
      </c>
      <c r="O79" s="3"/>
      <c r="P79" s="2"/>
      <c r="Q79" s="10">
        <f t="shared" si="4"/>
        <v>5.95</v>
      </c>
    </row>
    <row r="80" spans="1:17" x14ac:dyDescent="0.45">
      <c r="A80">
        <v>79</v>
      </c>
      <c r="B80" s="3">
        <v>44746</v>
      </c>
      <c r="C80" s="44">
        <f t="shared" si="5"/>
        <v>44746</v>
      </c>
      <c r="D80">
        <v>6892</v>
      </c>
      <c r="E80" t="str">
        <f>VLOOKUP(SalesTable[[#This Row],[Salesperson ID]],Salespeople!$A$2:$B$16,2,0)</f>
        <v>Fahd Sleiman</v>
      </c>
      <c r="F80">
        <v>12793</v>
      </c>
      <c r="G80" t="s">
        <v>133</v>
      </c>
      <c r="H80" t="s">
        <v>63</v>
      </c>
      <c r="I80" t="s">
        <v>70</v>
      </c>
      <c r="J80" t="str">
        <f>INDEX(Products!$A$2:$C$14,MATCH(SalesTable[[#This Row],[Product ID]],Products!$C$2:$C$14,0),2)</f>
        <v>Strawberry summer soap</v>
      </c>
      <c r="K80" s="4">
        <v>5.95</v>
      </c>
      <c r="L80" s="8">
        <v>6</v>
      </c>
      <c r="M80" s="10">
        <f t="shared" si="3"/>
        <v>35.700000000000003</v>
      </c>
      <c r="N80">
        <v>3</v>
      </c>
      <c r="O80" s="3"/>
      <c r="P80" s="2"/>
      <c r="Q80" s="10">
        <f t="shared" si="4"/>
        <v>35.700000000000003</v>
      </c>
    </row>
    <row r="81" spans="1:17" x14ac:dyDescent="0.45">
      <c r="A81">
        <v>80</v>
      </c>
      <c r="B81" s="3">
        <v>44746</v>
      </c>
      <c r="C81" s="44">
        <f t="shared" si="5"/>
        <v>44746</v>
      </c>
      <c r="D81">
        <v>6678</v>
      </c>
      <c r="E81" t="str">
        <f>VLOOKUP(SalesTable[[#This Row],[Salesperson ID]],Salespeople!$A$2:$B$16,2,0)</f>
        <v>Amalia Ribeiro</v>
      </c>
      <c r="F81">
        <v>18982</v>
      </c>
      <c r="G81" t="s">
        <v>134</v>
      </c>
      <c r="H81" t="s">
        <v>98</v>
      </c>
      <c r="I81" t="s">
        <v>52</v>
      </c>
      <c r="J81" t="str">
        <f>INDEX(Products!$A$2:$C$14,MATCH(SalesTable[[#This Row],[Product ID]],Products!$C$2:$C$14,0),2)</f>
        <v>Strawberry jam</v>
      </c>
      <c r="K81" s="4">
        <v>7.5</v>
      </c>
      <c r="L81" s="8">
        <v>10</v>
      </c>
      <c r="M81" s="10">
        <f t="shared" si="3"/>
        <v>75</v>
      </c>
      <c r="N81">
        <v>2</v>
      </c>
      <c r="O81" s="3"/>
      <c r="P81" s="2"/>
      <c r="Q81" s="10">
        <f t="shared" si="4"/>
        <v>75</v>
      </c>
    </row>
    <row r="82" spans="1:17" x14ac:dyDescent="0.45">
      <c r="A82">
        <v>81</v>
      </c>
      <c r="B82" s="3">
        <v>44746</v>
      </c>
      <c r="C82" s="44">
        <f t="shared" si="5"/>
        <v>44746</v>
      </c>
      <c r="D82">
        <v>1384</v>
      </c>
      <c r="E82" t="str">
        <f>VLOOKUP(SalesTable[[#This Row],[Salesperson ID]],Salespeople!$A$2:$B$16,2,0)</f>
        <v>Igor Almeida</v>
      </c>
      <c r="F82">
        <v>24926</v>
      </c>
      <c r="G82" t="s">
        <v>135</v>
      </c>
      <c r="H82" t="s">
        <v>92</v>
      </c>
      <c r="I82" t="s">
        <v>68</v>
      </c>
      <c r="J82" t="str">
        <f>INDEX(Products!$A$2:$C$14,MATCH(SalesTable[[#This Row],[Product ID]],Products!$C$2:$C$14,0),2)</f>
        <v>Mixed berry jam</v>
      </c>
      <c r="K82" s="4">
        <v>7.5</v>
      </c>
      <c r="L82" s="8">
        <v>9</v>
      </c>
      <c r="M82" s="10">
        <f t="shared" si="3"/>
        <v>67.5</v>
      </c>
      <c r="N82">
        <v>1</v>
      </c>
      <c r="O82" s="3"/>
      <c r="P82" s="2"/>
      <c r="Q82" s="10">
        <f t="shared" si="4"/>
        <v>67.5</v>
      </c>
    </row>
    <row r="83" spans="1:17" x14ac:dyDescent="0.45">
      <c r="A83">
        <v>82</v>
      </c>
      <c r="B83" s="3">
        <v>44746</v>
      </c>
      <c r="C83" s="44">
        <f t="shared" si="5"/>
        <v>44746</v>
      </c>
      <c r="D83">
        <v>5382</v>
      </c>
      <c r="E83" t="str">
        <f>VLOOKUP(SalesTable[[#This Row],[Salesperson ID]],Salespeople!$A$2:$B$16,2,0)</f>
        <v>Diya Nueimat</v>
      </c>
      <c r="F83">
        <v>10681</v>
      </c>
      <c r="G83" t="s">
        <v>48</v>
      </c>
      <c r="H83" t="s">
        <v>49</v>
      </c>
      <c r="I83" t="s">
        <v>57</v>
      </c>
      <c r="J83" t="str">
        <f>INDEX(Products!$A$2:$C$14,MATCH(SalesTable[[#This Row],[Product ID]],Products!$C$2:$C$14,0),2)</f>
        <v>Clover honey</v>
      </c>
      <c r="K83" s="4">
        <v>9</v>
      </c>
      <c r="L83" s="8">
        <v>3</v>
      </c>
      <c r="M83" s="10">
        <f t="shared" si="3"/>
        <v>27</v>
      </c>
      <c r="N83">
        <v>3</v>
      </c>
      <c r="O83" s="3"/>
      <c r="P83" s="2"/>
      <c r="Q83" s="10">
        <f t="shared" si="4"/>
        <v>27</v>
      </c>
    </row>
    <row r="84" spans="1:17" x14ac:dyDescent="0.45">
      <c r="A84">
        <v>83</v>
      </c>
      <c r="B84" s="3">
        <v>44747</v>
      </c>
      <c r="C84" s="44">
        <f t="shared" si="5"/>
        <v>44747</v>
      </c>
      <c r="D84">
        <v>8064</v>
      </c>
      <c r="E84" t="str">
        <f>VLOOKUP(SalesTable[[#This Row],[Salesperson ID]],Salespeople!$A$2:$B$16,2,0)</f>
        <v>Amal Salazar</v>
      </c>
      <c r="F84">
        <v>19112</v>
      </c>
      <c r="G84" t="s">
        <v>136</v>
      </c>
      <c r="H84" t="s">
        <v>35</v>
      </c>
      <c r="I84" t="s">
        <v>59</v>
      </c>
      <c r="J84" t="str">
        <f>INDEX(Products!$A$2:$C$14,MATCH(SalesTable[[#This Row],[Product ID]],Products!$C$2:$C$14,0),2)</f>
        <v>Wildflower honey</v>
      </c>
      <c r="K84" s="4">
        <v>9</v>
      </c>
      <c r="L84" s="8">
        <v>3</v>
      </c>
      <c r="M84" s="10">
        <f t="shared" si="3"/>
        <v>27</v>
      </c>
      <c r="N84">
        <v>3</v>
      </c>
      <c r="O84" s="3"/>
      <c r="P84" s="2"/>
      <c r="Q84" s="10">
        <f t="shared" si="4"/>
        <v>27</v>
      </c>
    </row>
    <row r="85" spans="1:17" x14ac:dyDescent="0.45">
      <c r="A85">
        <v>84</v>
      </c>
      <c r="B85" s="3">
        <v>44747</v>
      </c>
      <c r="C85" s="44">
        <f t="shared" si="5"/>
        <v>44747</v>
      </c>
      <c r="D85">
        <v>6464</v>
      </c>
      <c r="E85" t="str">
        <f>VLOOKUP(SalesTable[[#This Row],[Salesperson ID]],Salespeople!$A$2:$B$16,2,0)</f>
        <v>Hamal Azzi</v>
      </c>
      <c r="F85">
        <v>25523</v>
      </c>
      <c r="G85" t="s">
        <v>137</v>
      </c>
      <c r="H85" t="s">
        <v>51</v>
      </c>
      <c r="I85" t="s">
        <v>64</v>
      </c>
      <c r="J85" t="str">
        <f>INDEX(Products!$A$2:$C$14,MATCH(SalesTable[[#This Row],[Product ID]],Products!$C$2:$C$14,0),2)</f>
        <v>Oatmeal soap</v>
      </c>
      <c r="K85" s="4">
        <v>5.95</v>
      </c>
      <c r="L85" s="8">
        <v>8</v>
      </c>
      <c r="M85" s="10">
        <f t="shared" si="3"/>
        <v>47.6</v>
      </c>
      <c r="N85">
        <v>3</v>
      </c>
      <c r="O85" s="3"/>
      <c r="P85" s="2"/>
      <c r="Q85" s="10">
        <f t="shared" si="4"/>
        <v>47.6</v>
      </c>
    </row>
    <row r="86" spans="1:17" x14ac:dyDescent="0.45">
      <c r="A86">
        <v>85</v>
      </c>
      <c r="B86" s="3">
        <v>44748</v>
      </c>
      <c r="C86" s="44">
        <f t="shared" si="5"/>
        <v>44748</v>
      </c>
      <c r="D86">
        <v>8064</v>
      </c>
      <c r="E86" t="str">
        <f>VLOOKUP(SalesTable[[#This Row],[Salesperson ID]],Salespeople!$A$2:$B$16,2,0)</f>
        <v>Amal Salazar</v>
      </c>
      <c r="F86">
        <v>22544</v>
      </c>
      <c r="G86" t="s">
        <v>138</v>
      </c>
      <c r="H86" t="s">
        <v>35</v>
      </c>
      <c r="I86" t="s">
        <v>57</v>
      </c>
      <c r="J86" t="str">
        <f>INDEX(Products!$A$2:$C$14,MATCH(SalesTable[[#This Row],[Product ID]],Products!$C$2:$C$14,0),2)</f>
        <v>Clover honey</v>
      </c>
      <c r="K86" s="4">
        <v>9</v>
      </c>
      <c r="L86" s="8">
        <v>6</v>
      </c>
      <c r="M86" s="10">
        <f t="shared" si="3"/>
        <v>54</v>
      </c>
      <c r="N86">
        <v>3</v>
      </c>
      <c r="O86" s="3"/>
      <c r="P86" s="2"/>
      <c r="Q86" s="10">
        <f t="shared" si="4"/>
        <v>54</v>
      </c>
    </row>
    <row r="87" spans="1:17" x14ac:dyDescent="0.45">
      <c r="A87">
        <v>86</v>
      </c>
      <c r="B87" s="3">
        <v>44748</v>
      </c>
      <c r="C87" s="44">
        <f t="shared" si="5"/>
        <v>44748</v>
      </c>
      <c r="D87">
        <v>5418</v>
      </c>
      <c r="E87" t="str">
        <f>VLOOKUP(SalesTable[[#This Row],[Salesperson ID]],Salespeople!$A$2:$B$16,2,0)</f>
        <v>Isabell  Couture</v>
      </c>
      <c r="F87">
        <v>17338</v>
      </c>
      <c r="G87" t="s">
        <v>89</v>
      </c>
      <c r="H87" t="s">
        <v>41</v>
      </c>
      <c r="I87" t="s">
        <v>99</v>
      </c>
      <c r="J87" t="str">
        <f>INDEX(Products!$A$2:$C$14,MATCH(SalesTable[[#This Row],[Product ID]],Products!$C$2:$C$14,0),2)</f>
        <v>Goat milk hand and body lotion</v>
      </c>
      <c r="K87" s="4">
        <v>12</v>
      </c>
      <c r="L87" s="8">
        <v>8</v>
      </c>
      <c r="M87" s="10">
        <f t="shared" si="3"/>
        <v>96</v>
      </c>
      <c r="N87">
        <v>3</v>
      </c>
      <c r="O87" s="3"/>
      <c r="P87" s="2"/>
      <c r="Q87" s="10">
        <f t="shared" si="4"/>
        <v>96</v>
      </c>
    </row>
    <row r="88" spans="1:17" x14ac:dyDescent="0.45">
      <c r="A88">
        <v>87</v>
      </c>
      <c r="B88" s="3">
        <v>44749</v>
      </c>
      <c r="C88" s="44">
        <f t="shared" si="5"/>
        <v>44749</v>
      </c>
      <c r="D88">
        <v>6892</v>
      </c>
      <c r="E88" t="str">
        <f>VLOOKUP(SalesTable[[#This Row],[Salesperson ID]],Salespeople!$A$2:$B$16,2,0)</f>
        <v>Fahd Sleiman</v>
      </c>
      <c r="F88">
        <v>25764</v>
      </c>
      <c r="G88" t="s">
        <v>139</v>
      </c>
      <c r="H88" t="s">
        <v>84</v>
      </c>
      <c r="I88" t="s">
        <v>82</v>
      </c>
      <c r="J88" t="str">
        <f>INDEX(Products!$A$2:$C$14,MATCH(SalesTable[[#This Row],[Product ID]],Products!$C$2:$C$14,0),2)</f>
        <v>Oatmeal hand and body lotion</v>
      </c>
      <c r="K88" s="4">
        <v>12</v>
      </c>
      <c r="L88" s="8">
        <v>1</v>
      </c>
      <c r="M88" s="10">
        <f t="shared" si="3"/>
        <v>12</v>
      </c>
      <c r="N88">
        <v>1</v>
      </c>
      <c r="O88" s="3"/>
      <c r="P88" s="2"/>
      <c r="Q88" s="10">
        <f t="shared" si="4"/>
        <v>12</v>
      </c>
    </row>
    <row r="89" spans="1:17" x14ac:dyDescent="0.45">
      <c r="A89">
        <v>88</v>
      </c>
      <c r="B89" s="3">
        <v>44749</v>
      </c>
      <c r="C89" s="44">
        <f t="shared" si="5"/>
        <v>44749</v>
      </c>
      <c r="D89">
        <v>6464</v>
      </c>
      <c r="E89" t="str">
        <f>VLOOKUP(SalesTable[[#This Row],[Salesperson ID]],Salespeople!$A$2:$B$16,2,0)</f>
        <v>Hamal Azzi</v>
      </c>
      <c r="F89">
        <v>20912</v>
      </c>
      <c r="G89" t="s">
        <v>140</v>
      </c>
      <c r="H89" t="s">
        <v>88</v>
      </c>
      <c r="I89" t="s">
        <v>59</v>
      </c>
      <c r="J89" t="str">
        <f>INDEX(Products!$A$2:$C$14,MATCH(SalesTable[[#This Row],[Product ID]],Products!$C$2:$C$14,0),2)</f>
        <v>Wildflower honey</v>
      </c>
      <c r="K89" s="4">
        <v>9</v>
      </c>
      <c r="L89" s="8">
        <v>1</v>
      </c>
      <c r="M89" s="10">
        <f t="shared" si="3"/>
        <v>9</v>
      </c>
      <c r="N89">
        <v>3</v>
      </c>
      <c r="O89" s="3"/>
      <c r="P89" s="2"/>
      <c r="Q89" s="10">
        <f t="shared" si="4"/>
        <v>9</v>
      </c>
    </row>
    <row r="90" spans="1:17" x14ac:dyDescent="0.45">
      <c r="A90">
        <v>89</v>
      </c>
      <c r="B90" s="3">
        <v>44749</v>
      </c>
      <c r="C90" s="44">
        <f t="shared" si="5"/>
        <v>44749</v>
      </c>
      <c r="D90">
        <v>6143</v>
      </c>
      <c r="E90" t="str">
        <f>VLOOKUP(SalesTable[[#This Row],[Salesperson ID]],Salespeople!$A$2:$B$16,2,0)</f>
        <v>Liane Cormier</v>
      </c>
      <c r="F90">
        <v>11347</v>
      </c>
      <c r="G90" t="s">
        <v>121</v>
      </c>
      <c r="H90" t="s">
        <v>84</v>
      </c>
      <c r="I90" t="s">
        <v>39</v>
      </c>
      <c r="J90" t="str">
        <f>INDEX(Products!$A$2:$C$14,MATCH(SalesTable[[#This Row],[Product ID]],Products!$C$2:$C$14,0),2)</f>
        <v>Rhubarb-strawberry compote</v>
      </c>
      <c r="K90" s="4">
        <v>8</v>
      </c>
      <c r="L90" s="8">
        <v>5</v>
      </c>
      <c r="M90" s="10">
        <f t="shared" si="3"/>
        <v>40</v>
      </c>
      <c r="N90">
        <v>2</v>
      </c>
      <c r="O90" s="3"/>
      <c r="P90" s="2"/>
      <c r="Q90" s="10">
        <f t="shared" si="4"/>
        <v>40</v>
      </c>
    </row>
    <row r="91" spans="1:17" x14ac:dyDescent="0.45">
      <c r="A91">
        <v>90</v>
      </c>
      <c r="B91" s="3">
        <v>44750</v>
      </c>
      <c r="C91" s="44">
        <f t="shared" si="5"/>
        <v>44750</v>
      </c>
      <c r="D91">
        <v>6678</v>
      </c>
      <c r="E91" t="str">
        <f>VLOOKUP(SalesTable[[#This Row],[Salesperson ID]],Salespeople!$A$2:$B$16,2,0)</f>
        <v>Amalia Ribeiro</v>
      </c>
      <c r="F91">
        <v>25511</v>
      </c>
      <c r="G91" t="s">
        <v>141</v>
      </c>
      <c r="H91" t="s">
        <v>43</v>
      </c>
      <c r="I91" t="s">
        <v>59</v>
      </c>
      <c r="J91" t="str">
        <f>INDEX(Products!$A$2:$C$14,MATCH(SalesTable[[#This Row],[Product ID]],Products!$C$2:$C$14,0),2)</f>
        <v>Wildflower honey</v>
      </c>
      <c r="K91" s="4">
        <v>9</v>
      </c>
      <c r="L91" s="8">
        <v>2</v>
      </c>
      <c r="M91" s="10">
        <f t="shared" si="3"/>
        <v>18</v>
      </c>
      <c r="N91">
        <v>0</v>
      </c>
      <c r="O91" s="3"/>
      <c r="P91" s="2"/>
      <c r="Q91" s="10">
        <f t="shared" si="4"/>
        <v>18</v>
      </c>
    </row>
    <row r="92" spans="1:17" x14ac:dyDescent="0.45">
      <c r="A92">
        <v>91</v>
      </c>
      <c r="B92" s="3">
        <v>44750</v>
      </c>
      <c r="C92" s="44">
        <f t="shared" si="5"/>
        <v>44750</v>
      </c>
      <c r="D92">
        <v>6250</v>
      </c>
      <c r="E92" t="str">
        <f>VLOOKUP(SalesTable[[#This Row],[Salesperson ID]],Salespeople!$A$2:$B$16,2,0)</f>
        <v>Hu Lin</v>
      </c>
      <c r="F92">
        <v>24461</v>
      </c>
      <c r="G92" t="s">
        <v>142</v>
      </c>
      <c r="H92" t="s">
        <v>51</v>
      </c>
      <c r="I92" t="s">
        <v>61</v>
      </c>
      <c r="J92" t="str">
        <f>INDEX(Products!$A$2:$C$14,MATCH(SalesTable[[#This Row],[Product ID]],Products!$C$2:$C$14,0),2)</f>
        <v>Buckwheat honey</v>
      </c>
      <c r="K92" s="4">
        <v>9</v>
      </c>
      <c r="L92" s="8">
        <v>5</v>
      </c>
      <c r="M92" s="10">
        <f t="shared" si="3"/>
        <v>45</v>
      </c>
      <c r="N92">
        <v>3</v>
      </c>
      <c r="O92" s="3"/>
      <c r="P92" s="2"/>
      <c r="Q92" s="10">
        <f t="shared" si="4"/>
        <v>45</v>
      </c>
    </row>
    <row r="93" spans="1:17" x14ac:dyDescent="0.45">
      <c r="A93">
        <v>92</v>
      </c>
      <c r="B93" s="3">
        <v>44751</v>
      </c>
      <c r="C93" s="44">
        <f t="shared" si="5"/>
        <v>44751</v>
      </c>
      <c r="D93">
        <v>6678</v>
      </c>
      <c r="E93" t="str">
        <f>VLOOKUP(SalesTable[[#This Row],[Salesperson ID]],Salespeople!$A$2:$B$16,2,0)</f>
        <v>Amalia Ribeiro</v>
      </c>
      <c r="F93">
        <v>11047</v>
      </c>
      <c r="G93" t="s">
        <v>90</v>
      </c>
      <c r="H93" t="s">
        <v>63</v>
      </c>
      <c r="I93" t="s">
        <v>47</v>
      </c>
      <c r="J93" t="str">
        <f>INDEX(Products!$A$2:$C$14,MATCH(SalesTable[[#This Row],[Product ID]],Products!$C$2:$C$14,0),2)</f>
        <v>Mixed berry jelly</v>
      </c>
      <c r="K93" s="4">
        <v>7.5</v>
      </c>
      <c r="L93" s="8">
        <v>4</v>
      </c>
      <c r="M93" s="10">
        <f t="shared" si="3"/>
        <v>30</v>
      </c>
      <c r="N93">
        <v>1</v>
      </c>
      <c r="O93" s="3"/>
      <c r="P93" s="2"/>
      <c r="Q93" s="10">
        <f t="shared" si="4"/>
        <v>30</v>
      </c>
    </row>
    <row r="94" spans="1:17" x14ac:dyDescent="0.45">
      <c r="A94">
        <v>93</v>
      </c>
      <c r="B94" s="3">
        <v>44751</v>
      </c>
      <c r="C94" s="44">
        <f t="shared" si="5"/>
        <v>44751</v>
      </c>
      <c r="D94">
        <v>6892</v>
      </c>
      <c r="E94" t="str">
        <f>VLOOKUP(SalesTable[[#This Row],[Salesperson ID]],Salespeople!$A$2:$B$16,2,0)</f>
        <v>Fahd Sleiman</v>
      </c>
      <c r="F94">
        <v>12032</v>
      </c>
      <c r="G94" t="s">
        <v>143</v>
      </c>
      <c r="H94" t="s">
        <v>51</v>
      </c>
      <c r="I94" t="s">
        <v>99</v>
      </c>
      <c r="J94" t="str">
        <f>INDEX(Products!$A$2:$C$14,MATCH(SalesTable[[#This Row],[Product ID]],Products!$C$2:$C$14,0),2)</f>
        <v>Goat milk hand and body lotion</v>
      </c>
      <c r="K94" s="4">
        <v>12</v>
      </c>
      <c r="L94" s="8">
        <v>8</v>
      </c>
      <c r="M94" s="10">
        <f t="shared" si="3"/>
        <v>96</v>
      </c>
      <c r="N94">
        <v>2</v>
      </c>
      <c r="O94" s="3"/>
      <c r="P94" s="2"/>
      <c r="Q94" s="10">
        <f t="shared" si="4"/>
        <v>96</v>
      </c>
    </row>
    <row r="95" spans="1:17" x14ac:dyDescent="0.45">
      <c r="A95">
        <v>94</v>
      </c>
      <c r="B95" s="3">
        <v>44752</v>
      </c>
      <c r="C95" s="44">
        <f t="shared" si="5"/>
        <v>44752</v>
      </c>
      <c r="D95">
        <v>5400</v>
      </c>
      <c r="E95" t="str">
        <f>VLOOKUP(SalesTable[[#This Row],[Salesperson ID]],Salespeople!$A$2:$B$16,2,0)</f>
        <v>Maisha Karzai</v>
      </c>
      <c r="F95">
        <v>27560</v>
      </c>
      <c r="G95" t="s">
        <v>85</v>
      </c>
      <c r="H95" t="s">
        <v>43</v>
      </c>
      <c r="I95" t="s">
        <v>59</v>
      </c>
      <c r="J95" t="str">
        <f>INDEX(Products!$A$2:$C$14,MATCH(SalesTable[[#This Row],[Product ID]],Products!$C$2:$C$14,0),2)</f>
        <v>Wildflower honey</v>
      </c>
      <c r="K95" s="4">
        <v>9</v>
      </c>
      <c r="L95" s="8">
        <v>3</v>
      </c>
      <c r="M95" s="10">
        <f t="shared" si="3"/>
        <v>27</v>
      </c>
      <c r="N95">
        <v>2</v>
      </c>
      <c r="O95" s="3"/>
      <c r="P95" s="2"/>
      <c r="Q95" s="10">
        <f t="shared" si="4"/>
        <v>27</v>
      </c>
    </row>
    <row r="96" spans="1:17" x14ac:dyDescent="0.45">
      <c r="A96">
        <v>95</v>
      </c>
      <c r="B96" s="3">
        <v>44752</v>
      </c>
      <c r="C96" s="44">
        <f t="shared" si="5"/>
        <v>44752</v>
      </c>
      <c r="D96">
        <v>6678</v>
      </c>
      <c r="E96" t="str">
        <f>VLOOKUP(SalesTable[[#This Row],[Salesperson ID]],Salespeople!$A$2:$B$16,2,0)</f>
        <v>Amalia Ribeiro</v>
      </c>
      <c r="F96">
        <v>15464</v>
      </c>
      <c r="G96" t="s">
        <v>144</v>
      </c>
      <c r="H96" t="s">
        <v>145</v>
      </c>
      <c r="I96" t="s">
        <v>44</v>
      </c>
      <c r="J96" t="str">
        <f>INDEX(Products!$A$2:$C$14,MATCH(SalesTable[[#This Row],[Product ID]],Products!$C$2:$C$14,0),2)</f>
        <v>Goat milk and honey cream</v>
      </c>
      <c r="K96" s="4">
        <v>12</v>
      </c>
      <c r="L96" s="8">
        <v>7</v>
      </c>
      <c r="M96" s="10">
        <f t="shared" si="3"/>
        <v>84</v>
      </c>
      <c r="N96">
        <v>2</v>
      </c>
      <c r="O96" s="3"/>
      <c r="P96" s="2"/>
      <c r="Q96" s="10">
        <f t="shared" si="4"/>
        <v>84</v>
      </c>
    </row>
    <row r="97" spans="1:17" x14ac:dyDescent="0.45">
      <c r="A97">
        <v>96</v>
      </c>
      <c r="B97" s="3">
        <v>44753</v>
      </c>
      <c r="C97" s="44">
        <f t="shared" si="5"/>
        <v>44753</v>
      </c>
      <c r="D97">
        <v>8064</v>
      </c>
      <c r="E97" t="str">
        <f>VLOOKUP(SalesTable[[#This Row],[Salesperson ID]],Salespeople!$A$2:$B$16,2,0)</f>
        <v>Amal Salazar</v>
      </c>
      <c r="F97">
        <v>12971</v>
      </c>
      <c r="G97" t="s">
        <v>146</v>
      </c>
      <c r="H97" t="s">
        <v>92</v>
      </c>
      <c r="I97" t="s">
        <v>47</v>
      </c>
      <c r="J97" t="str">
        <f>INDEX(Products!$A$2:$C$14,MATCH(SalesTable[[#This Row],[Product ID]],Products!$C$2:$C$14,0),2)</f>
        <v>Mixed berry jelly</v>
      </c>
      <c r="K97" s="4">
        <v>7.5</v>
      </c>
      <c r="L97" s="8">
        <v>10</v>
      </c>
      <c r="M97" s="10">
        <f t="shared" si="3"/>
        <v>75</v>
      </c>
      <c r="N97">
        <v>2</v>
      </c>
      <c r="O97" s="3"/>
      <c r="P97" s="2"/>
      <c r="Q97" s="10">
        <f t="shared" si="4"/>
        <v>75</v>
      </c>
    </row>
    <row r="98" spans="1:17" x14ac:dyDescent="0.45">
      <c r="A98">
        <v>97</v>
      </c>
      <c r="B98" s="3">
        <v>44754</v>
      </c>
      <c r="C98" s="44">
        <f t="shared" si="5"/>
        <v>44754</v>
      </c>
      <c r="D98">
        <v>6250</v>
      </c>
      <c r="E98" t="str">
        <f>VLOOKUP(SalesTable[[#This Row],[Salesperson ID]],Salespeople!$A$2:$B$16,2,0)</f>
        <v>Hu Lin</v>
      </c>
      <c r="F98">
        <v>12883</v>
      </c>
      <c r="G98" t="s">
        <v>123</v>
      </c>
      <c r="H98" t="s">
        <v>56</v>
      </c>
      <c r="I98" t="s">
        <v>44</v>
      </c>
      <c r="J98" t="str">
        <f>INDEX(Products!$A$2:$C$14,MATCH(SalesTable[[#This Row],[Product ID]],Products!$C$2:$C$14,0),2)</f>
        <v>Goat milk and honey cream</v>
      </c>
      <c r="K98" s="4">
        <v>12</v>
      </c>
      <c r="L98" s="8">
        <v>7</v>
      </c>
      <c r="M98" s="10">
        <f t="shared" si="3"/>
        <v>84</v>
      </c>
      <c r="N98">
        <v>2</v>
      </c>
      <c r="O98" s="3"/>
      <c r="P98" s="2"/>
      <c r="Q98" s="10">
        <f t="shared" si="4"/>
        <v>84</v>
      </c>
    </row>
    <row r="99" spans="1:17" x14ac:dyDescent="0.45">
      <c r="A99">
        <v>98</v>
      </c>
      <c r="B99" s="3">
        <v>44754</v>
      </c>
      <c r="C99" s="44">
        <f t="shared" si="5"/>
        <v>44754</v>
      </c>
      <c r="D99">
        <v>5418</v>
      </c>
      <c r="E99" t="str">
        <f>VLOOKUP(SalesTable[[#This Row],[Salesperson ID]],Salespeople!$A$2:$B$16,2,0)</f>
        <v>Isabell  Couture</v>
      </c>
      <c r="F99">
        <v>16736</v>
      </c>
      <c r="G99" t="s">
        <v>40</v>
      </c>
      <c r="H99" t="s">
        <v>41</v>
      </c>
      <c r="I99" t="s">
        <v>70</v>
      </c>
      <c r="J99" t="str">
        <f>INDEX(Products!$A$2:$C$14,MATCH(SalesTable[[#This Row],[Product ID]],Products!$C$2:$C$14,0),2)</f>
        <v>Strawberry summer soap</v>
      </c>
      <c r="K99" s="4">
        <v>5.95</v>
      </c>
      <c r="L99" s="8">
        <v>4</v>
      </c>
      <c r="M99" s="10">
        <f t="shared" si="3"/>
        <v>23.8</v>
      </c>
      <c r="N99">
        <v>1</v>
      </c>
      <c r="O99" s="3"/>
      <c r="P99" s="2"/>
      <c r="Q99" s="10">
        <f t="shared" si="4"/>
        <v>23.8</v>
      </c>
    </row>
    <row r="100" spans="1:17" x14ac:dyDescent="0.45">
      <c r="A100">
        <v>99</v>
      </c>
      <c r="B100" s="3">
        <v>44755</v>
      </c>
      <c r="C100" s="44">
        <f t="shared" si="5"/>
        <v>44755</v>
      </c>
      <c r="D100">
        <v>6464</v>
      </c>
      <c r="E100" t="str">
        <f>VLOOKUP(SalesTable[[#This Row],[Salesperson ID]],Salespeople!$A$2:$B$16,2,0)</f>
        <v>Hamal Azzi</v>
      </c>
      <c r="F100">
        <v>28365</v>
      </c>
      <c r="G100" t="s">
        <v>53</v>
      </c>
      <c r="H100" t="s">
        <v>54</v>
      </c>
      <c r="I100" t="s">
        <v>99</v>
      </c>
      <c r="J100" t="str">
        <f>INDEX(Products!$A$2:$C$14,MATCH(SalesTable[[#This Row],[Product ID]],Products!$C$2:$C$14,0),2)</f>
        <v>Goat milk hand and body lotion</v>
      </c>
      <c r="K100" s="4">
        <v>12</v>
      </c>
      <c r="L100" s="8">
        <v>7</v>
      </c>
      <c r="M100" s="10">
        <f t="shared" si="3"/>
        <v>84</v>
      </c>
      <c r="N100">
        <v>1</v>
      </c>
      <c r="O100" s="3"/>
      <c r="P100" s="2"/>
      <c r="Q100" s="10">
        <f t="shared" si="4"/>
        <v>84</v>
      </c>
    </row>
    <row r="101" spans="1:17" x14ac:dyDescent="0.45">
      <c r="A101">
        <v>100</v>
      </c>
      <c r="B101" s="3">
        <v>44755</v>
      </c>
      <c r="C101" s="44">
        <f t="shared" si="5"/>
        <v>44755</v>
      </c>
      <c r="D101">
        <v>5400</v>
      </c>
      <c r="E101" t="str">
        <f>VLOOKUP(SalesTable[[#This Row],[Salesperson ID]],Salespeople!$A$2:$B$16,2,0)</f>
        <v>Maisha Karzai</v>
      </c>
      <c r="F101">
        <v>16974</v>
      </c>
      <c r="G101" t="s">
        <v>147</v>
      </c>
      <c r="H101" t="s">
        <v>49</v>
      </c>
      <c r="I101" t="s">
        <v>44</v>
      </c>
      <c r="J101" t="str">
        <f>INDEX(Products!$A$2:$C$14,MATCH(SalesTable[[#This Row],[Product ID]],Products!$C$2:$C$14,0),2)</f>
        <v>Goat milk and honey cream</v>
      </c>
      <c r="K101" s="4">
        <v>12</v>
      </c>
      <c r="L101" s="8">
        <v>4</v>
      </c>
      <c r="M101" s="10">
        <f t="shared" si="3"/>
        <v>48</v>
      </c>
      <c r="N101">
        <v>0</v>
      </c>
      <c r="O101" s="3"/>
      <c r="P101" s="2"/>
      <c r="Q101" s="10">
        <f t="shared" si="4"/>
        <v>48</v>
      </c>
    </row>
    <row r="102" spans="1:17" x14ac:dyDescent="0.45">
      <c r="A102">
        <v>101</v>
      </c>
      <c r="B102" s="3">
        <v>44756</v>
      </c>
      <c r="C102" s="44">
        <f t="shared" si="5"/>
        <v>44756</v>
      </c>
      <c r="D102">
        <v>6464</v>
      </c>
      <c r="E102" t="str">
        <f>VLOOKUP(SalesTable[[#This Row],[Salesperson ID]],Salespeople!$A$2:$B$16,2,0)</f>
        <v>Hamal Azzi</v>
      </c>
      <c r="F102">
        <v>15353</v>
      </c>
      <c r="G102" t="s">
        <v>58</v>
      </c>
      <c r="H102" t="s">
        <v>38</v>
      </c>
      <c r="I102" t="s">
        <v>36</v>
      </c>
      <c r="J102" t="str">
        <f>INDEX(Products!$A$2:$C$14,MATCH(SalesTable[[#This Row],[Product ID]],Products!$C$2:$C$14,0),2)</f>
        <v>Goat milk soap</v>
      </c>
      <c r="K102" s="4">
        <v>5.95</v>
      </c>
      <c r="L102" s="8">
        <v>3</v>
      </c>
      <c r="M102" s="10">
        <f t="shared" si="3"/>
        <v>17.850000000000001</v>
      </c>
      <c r="N102">
        <v>2</v>
      </c>
      <c r="O102" s="3"/>
      <c r="P102" s="2"/>
      <c r="Q102" s="10">
        <f t="shared" si="4"/>
        <v>17.850000000000001</v>
      </c>
    </row>
    <row r="103" spans="1:17" x14ac:dyDescent="0.45">
      <c r="A103">
        <v>102</v>
      </c>
      <c r="B103" s="3">
        <v>44756</v>
      </c>
      <c r="C103" s="44">
        <f t="shared" si="5"/>
        <v>44756</v>
      </c>
      <c r="D103">
        <v>5382</v>
      </c>
      <c r="E103" t="str">
        <f>VLOOKUP(SalesTable[[#This Row],[Salesperson ID]],Salespeople!$A$2:$B$16,2,0)</f>
        <v>Diya Nueimat</v>
      </c>
      <c r="F103">
        <v>26269</v>
      </c>
      <c r="G103" t="s">
        <v>118</v>
      </c>
      <c r="H103" t="s">
        <v>96</v>
      </c>
      <c r="I103" t="s">
        <v>52</v>
      </c>
      <c r="J103" t="str">
        <f>INDEX(Products!$A$2:$C$14,MATCH(SalesTable[[#This Row],[Product ID]],Products!$C$2:$C$14,0),2)</f>
        <v>Strawberry jam</v>
      </c>
      <c r="K103" s="4">
        <v>7.5</v>
      </c>
      <c r="L103" s="8">
        <v>3</v>
      </c>
      <c r="M103" s="10">
        <f t="shared" si="3"/>
        <v>22.5</v>
      </c>
      <c r="N103">
        <v>0</v>
      </c>
      <c r="O103" s="3"/>
      <c r="P103" s="2"/>
      <c r="Q103" s="10">
        <f t="shared" si="4"/>
        <v>22.5</v>
      </c>
    </row>
    <row r="104" spans="1:17" x14ac:dyDescent="0.45">
      <c r="A104">
        <v>103</v>
      </c>
      <c r="B104" s="3">
        <v>44757</v>
      </c>
      <c r="C104" s="44">
        <f t="shared" si="5"/>
        <v>44757</v>
      </c>
      <c r="D104">
        <v>6464</v>
      </c>
      <c r="E104" t="str">
        <f>VLOOKUP(SalesTable[[#This Row],[Salesperson ID]],Salespeople!$A$2:$B$16,2,0)</f>
        <v>Hamal Azzi</v>
      </c>
      <c r="F104">
        <v>16272</v>
      </c>
      <c r="G104" t="s">
        <v>125</v>
      </c>
      <c r="H104" t="s">
        <v>41</v>
      </c>
      <c r="I104" t="s">
        <v>44</v>
      </c>
      <c r="J104" t="str">
        <f>INDEX(Products!$A$2:$C$14,MATCH(SalesTable[[#This Row],[Product ID]],Products!$C$2:$C$14,0),2)</f>
        <v>Goat milk and honey cream</v>
      </c>
      <c r="K104" s="4">
        <v>12</v>
      </c>
      <c r="L104" s="8">
        <v>6</v>
      </c>
      <c r="M104" s="10">
        <f t="shared" si="3"/>
        <v>72</v>
      </c>
      <c r="N104">
        <v>0</v>
      </c>
      <c r="O104" s="3"/>
      <c r="P104" s="2"/>
      <c r="Q104" s="10">
        <f t="shared" si="4"/>
        <v>72</v>
      </c>
    </row>
    <row r="105" spans="1:17" x14ac:dyDescent="0.45">
      <c r="A105">
        <v>104</v>
      </c>
      <c r="B105" s="3">
        <v>44757</v>
      </c>
      <c r="C105" s="44">
        <f t="shared" si="5"/>
        <v>44757</v>
      </c>
      <c r="D105">
        <v>6464</v>
      </c>
      <c r="E105" t="str">
        <f>VLOOKUP(SalesTable[[#This Row],[Salesperson ID]],Salespeople!$A$2:$B$16,2,0)</f>
        <v>Hamal Azzi</v>
      </c>
      <c r="F105">
        <v>22708</v>
      </c>
      <c r="G105" t="s">
        <v>127</v>
      </c>
      <c r="H105" t="s">
        <v>63</v>
      </c>
      <c r="I105" t="s">
        <v>52</v>
      </c>
      <c r="J105" t="str">
        <f>INDEX(Products!$A$2:$C$14,MATCH(SalesTable[[#This Row],[Product ID]],Products!$C$2:$C$14,0),2)</f>
        <v>Strawberry jam</v>
      </c>
      <c r="K105" s="4">
        <v>7.5</v>
      </c>
      <c r="L105" s="8">
        <v>5</v>
      </c>
      <c r="M105" s="10">
        <f t="shared" si="3"/>
        <v>37.5</v>
      </c>
      <c r="N105">
        <v>2</v>
      </c>
      <c r="O105" s="3"/>
      <c r="P105" s="2"/>
      <c r="Q105" s="10">
        <f t="shared" si="4"/>
        <v>37.5</v>
      </c>
    </row>
    <row r="106" spans="1:17" x14ac:dyDescent="0.45">
      <c r="A106">
        <v>105</v>
      </c>
      <c r="B106" s="3">
        <v>44757</v>
      </c>
      <c r="C106" s="44">
        <f t="shared" si="5"/>
        <v>44757</v>
      </c>
      <c r="D106">
        <v>6357</v>
      </c>
      <c r="E106" t="str">
        <f>VLOOKUP(SalesTable[[#This Row],[Salesperson ID]],Salespeople!$A$2:$B$16,2,0)</f>
        <v>Johnny Bear</v>
      </c>
      <c r="F106">
        <v>17972</v>
      </c>
      <c r="G106" t="s">
        <v>148</v>
      </c>
      <c r="H106" t="s">
        <v>56</v>
      </c>
      <c r="I106" t="s">
        <v>36</v>
      </c>
      <c r="J106" t="str">
        <f>INDEX(Products!$A$2:$C$14,MATCH(SalesTable[[#This Row],[Product ID]],Products!$C$2:$C$14,0),2)</f>
        <v>Goat milk soap</v>
      </c>
      <c r="K106" s="4">
        <v>5.95</v>
      </c>
      <c r="L106" s="8">
        <v>9</v>
      </c>
      <c r="M106" s="10">
        <f t="shared" si="3"/>
        <v>53.550000000000004</v>
      </c>
      <c r="N106">
        <v>2</v>
      </c>
      <c r="O106" s="3"/>
      <c r="P106" s="2"/>
      <c r="Q106" s="10">
        <f t="shared" si="4"/>
        <v>53.550000000000004</v>
      </c>
    </row>
    <row r="107" spans="1:17" x14ac:dyDescent="0.45">
      <c r="A107">
        <v>106</v>
      </c>
      <c r="B107" s="3">
        <v>44757</v>
      </c>
      <c r="C107" s="44">
        <f t="shared" si="5"/>
        <v>44757</v>
      </c>
      <c r="D107">
        <v>5418</v>
      </c>
      <c r="E107" t="str">
        <f>VLOOKUP(SalesTable[[#This Row],[Salesperson ID]],Salespeople!$A$2:$B$16,2,0)</f>
        <v>Isabell  Couture</v>
      </c>
      <c r="F107">
        <v>10523</v>
      </c>
      <c r="G107" t="s">
        <v>149</v>
      </c>
      <c r="H107" t="s">
        <v>38</v>
      </c>
      <c r="I107" t="s">
        <v>59</v>
      </c>
      <c r="J107" t="str">
        <f>INDEX(Products!$A$2:$C$14,MATCH(SalesTable[[#This Row],[Product ID]],Products!$C$2:$C$14,0),2)</f>
        <v>Wildflower honey</v>
      </c>
      <c r="K107" s="4">
        <v>9</v>
      </c>
      <c r="L107" s="8">
        <v>2</v>
      </c>
      <c r="M107" s="10">
        <f t="shared" si="3"/>
        <v>18</v>
      </c>
      <c r="N107">
        <v>1</v>
      </c>
      <c r="O107" s="3"/>
      <c r="P107" s="2"/>
      <c r="Q107" s="10">
        <f t="shared" si="4"/>
        <v>18</v>
      </c>
    </row>
    <row r="108" spans="1:17" x14ac:dyDescent="0.45">
      <c r="A108">
        <v>107</v>
      </c>
      <c r="B108" s="3">
        <v>44757</v>
      </c>
      <c r="C108" s="44">
        <f t="shared" si="5"/>
        <v>44757</v>
      </c>
      <c r="D108">
        <v>6678</v>
      </c>
      <c r="E108" t="str">
        <f>VLOOKUP(SalesTable[[#This Row],[Salesperson ID]],Salespeople!$A$2:$B$16,2,0)</f>
        <v>Amalia Ribeiro</v>
      </c>
      <c r="F108">
        <v>15353</v>
      </c>
      <c r="G108" t="s">
        <v>58</v>
      </c>
      <c r="H108" t="s">
        <v>38</v>
      </c>
      <c r="I108" t="s">
        <v>61</v>
      </c>
      <c r="J108" t="str">
        <f>INDEX(Products!$A$2:$C$14,MATCH(SalesTable[[#This Row],[Product ID]],Products!$C$2:$C$14,0),2)</f>
        <v>Buckwheat honey</v>
      </c>
      <c r="K108" s="4">
        <v>9</v>
      </c>
      <c r="L108" s="8">
        <v>4</v>
      </c>
      <c r="M108" s="10">
        <f t="shared" si="3"/>
        <v>36</v>
      </c>
      <c r="N108">
        <v>2</v>
      </c>
      <c r="O108" s="3"/>
      <c r="P108" s="2"/>
      <c r="Q108" s="10">
        <f t="shared" si="4"/>
        <v>36</v>
      </c>
    </row>
    <row r="109" spans="1:17" x14ac:dyDescent="0.45">
      <c r="A109">
        <v>108</v>
      </c>
      <c r="B109" s="3">
        <v>44758</v>
      </c>
      <c r="C109" s="44">
        <f t="shared" si="5"/>
        <v>44758</v>
      </c>
      <c r="D109">
        <v>8064</v>
      </c>
      <c r="E109" t="str">
        <f>VLOOKUP(SalesTable[[#This Row],[Salesperson ID]],Salespeople!$A$2:$B$16,2,0)</f>
        <v>Amal Salazar</v>
      </c>
      <c r="F109">
        <v>21702</v>
      </c>
      <c r="G109" t="s">
        <v>150</v>
      </c>
      <c r="H109" t="s">
        <v>56</v>
      </c>
      <c r="I109" t="s">
        <v>68</v>
      </c>
      <c r="J109" t="str">
        <f>INDEX(Products!$A$2:$C$14,MATCH(SalesTable[[#This Row],[Product ID]],Products!$C$2:$C$14,0),2)</f>
        <v>Mixed berry jam</v>
      </c>
      <c r="K109" s="4">
        <v>7.5</v>
      </c>
      <c r="L109" s="8">
        <v>7</v>
      </c>
      <c r="M109" s="10">
        <f t="shared" si="3"/>
        <v>52.5</v>
      </c>
      <c r="N109">
        <v>0</v>
      </c>
      <c r="O109" s="3"/>
      <c r="P109" s="2"/>
      <c r="Q109" s="10">
        <f t="shared" si="4"/>
        <v>52.5</v>
      </c>
    </row>
    <row r="110" spans="1:17" x14ac:dyDescent="0.45">
      <c r="A110">
        <v>109</v>
      </c>
      <c r="B110" s="3">
        <v>44758</v>
      </c>
      <c r="C110" s="44">
        <f t="shared" si="5"/>
        <v>44758</v>
      </c>
      <c r="D110">
        <v>5418</v>
      </c>
      <c r="E110" t="str">
        <f>VLOOKUP(SalesTable[[#This Row],[Salesperson ID]],Salespeople!$A$2:$B$16,2,0)</f>
        <v>Isabell  Couture</v>
      </c>
      <c r="F110">
        <v>11124</v>
      </c>
      <c r="G110" t="s">
        <v>42</v>
      </c>
      <c r="H110" t="s">
        <v>43</v>
      </c>
      <c r="I110" t="s">
        <v>39</v>
      </c>
      <c r="J110" t="str">
        <f>INDEX(Products!$A$2:$C$14,MATCH(SalesTable[[#This Row],[Product ID]],Products!$C$2:$C$14,0),2)</f>
        <v>Rhubarb-strawberry compote</v>
      </c>
      <c r="K110" s="4">
        <v>8</v>
      </c>
      <c r="L110" s="8">
        <v>7</v>
      </c>
      <c r="M110" s="10">
        <f t="shared" si="3"/>
        <v>56</v>
      </c>
      <c r="N110">
        <v>3</v>
      </c>
      <c r="O110" s="3"/>
      <c r="P110" s="2"/>
      <c r="Q110" s="10">
        <f t="shared" si="4"/>
        <v>56</v>
      </c>
    </row>
    <row r="111" spans="1:17" x14ac:dyDescent="0.45">
      <c r="A111">
        <v>110</v>
      </c>
      <c r="B111" s="3">
        <v>44758</v>
      </c>
      <c r="C111" s="44">
        <f t="shared" si="5"/>
        <v>44758</v>
      </c>
      <c r="D111">
        <v>5400</v>
      </c>
      <c r="E111" t="str">
        <f>VLOOKUP(SalesTable[[#This Row],[Salesperson ID]],Salespeople!$A$2:$B$16,2,0)</f>
        <v>Maisha Karzai</v>
      </c>
      <c r="F111">
        <v>13321</v>
      </c>
      <c r="G111" t="s">
        <v>151</v>
      </c>
      <c r="H111" t="s">
        <v>35</v>
      </c>
      <c r="I111" t="s">
        <v>47</v>
      </c>
      <c r="J111" t="str">
        <f>INDEX(Products!$A$2:$C$14,MATCH(SalesTable[[#This Row],[Product ID]],Products!$C$2:$C$14,0),2)</f>
        <v>Mixed berry jelly</v>
      </c>
      <c r="K111" s="4">
        <v>7.5</v>
      </c>
      <c r="L111" s="8">
        <v>5</v>
      </c>
      <c r="M111" s="10">
        <f t="shared" si="3"/>
        <v>37.5</v>
      </c>
      <c r="N111">
        <v>2</v>
      </c>
      <c r="O111" s="3"/>
      <c r="P111" s="2"/>
      <c r="Q111" s="10">
        <f t="shared" si="4"/>
        <v>37.5</v>
      </c>
    </row>
    <row r="112" spans="1:17" x14ac:dyDescent="0.45">
      <c r="A112">
        <v>111</v>
      </c>
      <c r="B112" s="3">
        <v>44758</v>
      </c>
      <c r="C112" s="44">
        <f t="shared" si="5"/>
        <v>44758</v>
      </c>
      <c r="D112">
        <v>8064</v>
      </c>
      <c r="E112" t="str">
        <f>VLOOKUP(SalesTable[[#This Row],[Salesperson ID]],Salespeople!$A$2:$B$16,2,0)</f>
        <v>Amal Salazar</v>
      </c>
      <c r="F112">
        <v>23827</v>
      </c>
      <c r="G112" t="s">
        <v>152</v>
      </c>
      <c r="H112" t="s">
        <v>78</v>
      </c>
      <c r="I112" t="s">
        <v>39</v>
      </c>
      <c r="J112" t="str">
        <f>INDEX(Products!$A$2:$C$14,MATCH(SalesTable[[#This Row],[Product ID]],Products!$C$2:$C$14,0),2)</f>
        <v>Rhubarb-strawberry compote</v>
      </c>
      <c r="K112" s="4">
        <v>8</v>
      </c>
      <c r="L112" s="8">
        <v>5</v>
      </c>
      <c r="M112" s="10">
        <f t="shared" si="3"/>
        <v>40</v>
      </c>
      <c r="N112">
        <v>0</v>
      </c>
      <c r="O112" s="3"/>
      <c r="P112" s="2"/>
      <c r="Q112" s="10">
        <f t="shared" si="4"/>
        <v>40</v>
      </c>
    </row>
    <row r="113" spans="1:17" x14ac:dyDescent="0.45">
      <c r="A113">
        <v>112</v>
      </c>
      <c r="B113" s="3">
        <v>44758</v>
      </c>
      <c r="C113" s="44">
        <f t="shared" si="5"/>
        <v>44758</v>
      </c>
      <c r="D113">
        <v>6892</v>
      </c>
      <c r="E113" t="str">
        <f>VLOOKUP(SalesTable[[#This Row],[Salesperson ID]],Salespeople!$A$2:$B$16,2,0)</f>
        <v>Fahd Sleiman</v>
      </c>
      <c r="F113">
        <v>25929</v>
      </c>
      <c r="G113" t="s">
        <v>65</v>
      </c>
      <c r="H113" t="s">
        <v>66</v>
      </c>
      <c r="I113" t="s">
        <v>99</v>
      </c>
      <c r="J113" t="str">
        <f>INDEX(Products!$A$2:$C$14,MATCH(SalesTable[[#This Row],[Product ID]],Products!$C$2:$C$14,0),2)</f>
        <v>Goat milk hand and body lotion</v>
      </c>
      <c r="K113" s="4">
        <v>12</v>
      </c>
      <c r="L113" s="8">
        <v>10</v>
      </c>
      <c r="M113" s="10">
        <f t="shared" si="3"/>
        <v>120</v>
      </c>
      <c r="N113">
        <v>0</v>
      </c>
      <c r="O113" s="3"/>
      <c r="P113" s="2"/>
      <c r="Q113" s="10">
        <f t="shared" si="4"/>
        <v>120</v>
      </c>
    </row>
    <row r="114" spans="1:17" x14ac:dyDescent="0.45">
      <c r="A114">
        <v>113</v>
      </c>
      <c r="B114" s="3">
        <v>44759</v>
      </c>
      <c r="C114" s="44">
        <f t="shared" si="5"/>
        <v>44759</v>
      </c>
      <c r="D114">
        <v>6678</v>
      </c>
      <c r="E114" t="str">
        <f>VLOOKUP(SalesTable[[#This Row],[Salesperson ID]],Salespeople!$A$2:$B$16,2,0)</f>
        <v>Amalia Ribeiro</v>
      </c>
      <c r="F114">
        <v>16741</v>
      </c>
      <c r="G114" t="s">
        <v>153</v>
      </c>
      <c r="H114" t="s">
        <v>46</v>
      </c>
      <c r="I114" t="s">
        <v>68</v>
      </c>
      <c r="J114" t="str">
        <f>INDEX(Products!$A$2:$C$14,MATCH(SalesTable[[#This Row],[Product ID]],Products!$C$2:$C$14,0),2)</f>
        <v>Mixed berry jam</v>
      </c>
      <c r="K114" s="4">
        <v>7.5</v>
      </c>
      <c r="L114" s="8">
        <v>2</v>
      </c>
      <c r="M114" s="10">
        <f t="shared" si="3"/>
        <v>15</v>
      </c>
      <c r="N114">
        <v>3</v>
      </c>
      <c r="O114" s="3"/>
      <c r="P114" s="2"/>
      <c r="Q114" s="10">
        <f t="shared" si="4"/>
        <v>15</v>
      </c>
    </row>
    <row r="115" spans="1:17" x14ac:dyDescent="0.45">
      <c r="A115">
        <v>114</v>
      </c>
      <c r="B115" s="3">
        <v>44759</v>
      </c>
      <c r="C115" s="44">
        <f t="shared" si="5"/>
        <v>44759</v>
      </c>
      <c r="D115">
        <v>6571</v>
      </c>
      <c r="E115" t="str">
        <f>VLOOKUP(SalesTable[[#This Row],[Salesperson ID]],Salespeople!$A$2:$B$16,2,0)</f>
        <v>Iker Dominguez</v>
      </c>
      <c r="F115">
        <v>21803</v>
      </c>
      <c r="G115" t="s">
        <v>154</v>
      </c>
      <c r="H115" t="s">
        <v>49</v>
      </c>
      <c r="I115" t="s">
        <v>52</v>
      </c>
      <c r="J115" t="str">
        <f>INDEX(Products!$A$2:$C$14,MATCH(SalesTable[[#This Row],[Product ID]],Products!$C$2:$C$14,0),2)</f>
        <v>Strawberry jam</v>
      </c>
      <c r="K115" s="4">
        <v>7.5</v>
      </c>
      <c r="L115" s="8">
        <v>2</v>
      </c>
      <c r="M115" s="10">
        <f t="shared" si="3"/>
        <v>15</v>
      </c>
      <c r="N115">
        <v>0</v>
      </c>
      <c r="O115" s="3"/>
      <c r="P115" s="2"/>
      <c r="Q115" s="10">
        <f t="shared" si="4"/>
        <v>15</v>
      </c>
    </row>
    <row r="116" spans="1:17" x14ac:dyDescent="0.45">
      <c r="A116">
        <v>115</v>
      </c>
      <c r="B116" s="3">
        <v>44759</v>
      </c>
      <c r="C116" s="44">
        <f t="shared" si="5"/>
        <v>44759</v>
      </c>
      <c r="D116">
        <v>4350</v>
      </c>
      <c r="E116" t="str">
        <f>VLOOKUP(SalesTable[[#This Row],[Salesperson ID]],Salespeople!$A$2:$B$16,2,0)</f>
        <v>Mukhtar Masih</v>
      </c>
      <c r="F116">
        <v>20177</v>
      </c>
      <c r="G116" t="s">
        <v>103</v>
      </c>
      <c r="H116" t="s">
        <v>41</v>
      </c>
      <c r="I116" t="s">
        <v>99</v>
      </c>
      <c r="J116" t="str">
        <f>INDEX(Products!$A$2:$C$14,MATCH(SalesTable[[#This Row],[Product ID]],Products!$C$2:$C$14,0),2)</f>
        <v>Goat milk hand and body lotion</v>
      </c>
      <c r="K116" s="4">
        <v>12</v>
      </c>
      <c r="L116" s="8">
        <v>1</v>
      </c>
      <c r="M116" s="10">
        <f t="shared" si="3"/>
        <v>12</v>
      </c>
      <c r="N116">
        <v>2</v>
      </c>
      <c r="O116" s="3"/>
      <c r="P116" s="2"/>
      <c r="Q116" s="10">
        <f t="shared" si="4"/>
        <v>12</v>
      </c>
    </row>
    <row r="117" spans="1:17" x14ac:dyDescent="0.45">
      <c r="A117">
        <v>116</v>
      </c>
      <c r="B117" s="3">
        <v>44760</v>
      </c>
      <c r="C117" s="44">
        <f t="shared" si="5"/>
        <v>44760</v>
      </c>
      <c r="D117">
        <v>8064</v>
      </c>
      <c r="E117" t="str">
        <f>VLOOKUP(SalesTable[[#This Row],[Salesperson ID]],Salespeople!$A$2:$B$16,2,0)</f>
        <v>Amal Salazar</v>
      </c>
      <c r="F117">
        <v>24142</v>
      </c>
      <c r="G117" t="s">
        <v>116</v>
      </c>
      <c r="H117" t="s">
        <v>88</v>
      </c>
      <c r="I117" t="s">
        <v>36</v>
      </c>
      <c r="J117" t="str">
        <f>INDEX(Products!$A$2:$C$14,MATCH(SalesTable[[#This Row],[Product ID]],Products!$C$2:$C$14,0),2)</f>
        <v>Goat milk soap</v>
      </c>
      <c r="K117" s="4">
        <v>5.95</v>
      </c>
      <c r="L117" s="8">
        <v>8</v>
      </c>
      <c r="M117" s="10">
        <f t="shared" si="3"/>
        <v>47.6</v>
      </c>
      <c r="N117">
        <v>2</v>
      </c>
      <c r="O117" s="3"/>
      <c r="P117" s="2"/>
      <c r="Q117" s="10">
        <f t="shared" si="4"/>
        <v>47.6</v>
      </c>
    </row>
    <row r="118" spans="1:17" x14ac:dyDescent="0.45">
      <c r="A118">
        <v>117</v>
      </c>
      <c r="B118" s="3">
        <v>44760</v>
      </c>
      <c r="C118" s="44">
        <f t="shared" si="5"/>
        <v>44760</v>
      </c>
      <c r="D118">
        <v>6143</v>
      </c>
      <c r="E118" t="str">
        <f>VLOOKUP(SalesTable[[#This Row],[Salesperson ID]],Salespeople!$A$2:$B$16,2,0)</f>
        <v>Liane Cormier</v>
      </c>
      <c r="F118">
        <v>10550</v>
      </c>
      <c r="G118" t="s">
        <v>155</v>
      </c>
      <c r="H118" t="s">
        <v>145</v>
      </c>
      <c r="I118" t="s">
        <v>39</v>
      </c>
      <c r="J118" t="str">
        <f>INDEX(Products!$A$2:$C$14,MATCH(SalesTable[[#This Row],[Product ID]],Products!$C$2:$C$14,0),2)</f>
        <v>Rhubarb-strawberry compote</v>
      </c>
      <c r="K118" s="4">
        <v>8</v>
      </c>
      <c r="L118" s="8">
        <v>3</v>
      </c>
      <c r="M118" s="10">
        <f t="shared" si="3"/>
        <v>24</v>
      </c>
      <c r="N118">
        <v>2</v>
      </c>
      <c r="O118" s="3"/>
      <c r="P118" s="2"/>
      <c r="Q118" s="10">
        <f t="shared" si="4"/>
        <v>24</v>
      </c>
    </row>
    <row r="119" spans="1:17" x14ac:dyDescent="0.45">
      <c r="A119">
        <v>118</v>
      </c>
      <c r="B119" s="3">
        <v>44762</v>
      </c>
      <c r="C119" s="44">
        <f t="shared" si="5"/>
        <v>44762</v>
      </c>
      <c r="D119">
        <v>6464</v>
      </c>
      <c r="E119" t="str">
        <f>VLOOKUP(SalesTable[[#This Row],[Salesperson ID]],Salespeople!$A$2:$B$16,2,0)</f>
        <v>Hamal Azzi</v>
      </c>
      <c r="F119">
        <v>10828</v>
      </c>
      <c r="G119" t="s">
        <v>156</v>
      </c>
      <c r="H119" t="s">
        <v>49</v>
      </c>
      <c r="I119" t="s">
        <v>68</v>
      </c>
      <c r="J119" t="str">
        <f>INDEX(Products!$A$2:$C$14,MATCH(SalesTable[[#This Row],[Product ID]],Products!$C$2:$C$14,0),2)</f>
        <v>Mixed berry jam</v>
      </c>
      <c r="K119" s="4">
        <v>7.5</v>
      </c>
      <c r="L119" s="8">
        <v>8</v>
      </c>
      <c r="M119" s="10">
        <f t="shared" si="3"/>
        <v>60</v>
      </c>
      <c r="N119">
        <v>0</v>
      </c>
      <c r="O119" s="3"/>
      <c r="P119" s="2"/>
      <c r="Q119" s="10">
        <f t="shared" si="4"/>
        <v>60</v>
      </c>
    </row>
    <row r="120" spans="1:17" x14ac:dyDescent="0.45">
      <c r="A120">
        <v>119</v>
      </c>
      <c r="B120" s="3">
        <v>44762</v>
      </c>
      <c r="C120" s="44">
        <f t="shared" si="5"/>
        <v>44762</v>
      </c>
      <c r="D120">
        <v>8064</v>
      </c>
      <c r="E120" t="str">
        <f>VLOOKUP(SalesTable[[#This Row],[Salesperson ID]],Salespeople!$A$2:$B$16,2,0)</f>
        <v>Amal Salazar</v>
      </c>
      <c r="F120">
        <v>10734</v>
      </c>
      <c r="G120" t="s">
        <v>157</v>
      </c>
      <c r="H120" t="s">
        <v>56</v>
      </c>
      <c r="I120" t="s">
        <v>59</v>
      </c>
      <c r="J120" t="str">
        <f>INDEX(Products!$A$2:$C$14,MATCH(SalesTable[[#This Row],[Product ID]],Products!$C$2:$C$14,0),2)</f>
        <v>Wildflower honey</v>
      </c>
      <c r="K120" s="4">
        <v>9</v>
      </c>
      <c r="L120" s="8">
        <v>7</v>
      </c>
      <c r="M120" s="10">
        <f t="shared" si="3"/>
        <v>63</v>
      </c>
      <c r="N120">
        <v>2</v>
      </c>
      <c r="O120" s="3"/>
      <c r="P120" s="2"/>
      <c r="Q120" s="10">
        <f t="shared" si="4"/>
        <v>63</v>
      </c>
    </row>
    <row r="121" spans="1:17" x14ac:dyDescent="0.45">
      <c r="A121">
        <v>120</v>
      </c>
      <c r="B121" s="3">
        <v>44762</v>
      </c>
      <c r="C121" s="44">
        <f t="shared" si="5"/>
        <v>44762</v>
      </c>
      <c r="D121">
        <v>4350</v>
      </c>
      <c r="E121" t="str">
        <f>VLOOKUP(SalesTable[[#This Row],[Salesperson ID]],Salespeople!$A$2:$B$16,2,0)</f>
        <v>Mukhtar Masih</v>
      </c>
      <c r="F121">
        <v>26512</v>
      </c>
      <c r="G121" t="s">
        <v>158</v>
      </c>
      <c r="H121" t="s">
        <v>41</v>
      </c>
      <c r="I121" t="s">
        <v>52</v>
      </c>
      <c r="J121" t="str">
        <f>INDEX(Products!$A$2:$C$14,MATCH(SalesTable[[#This Row],[Product ID]],Products!$C$2:$C$14,0),2)</f>
        <v>Strawberry jam</v>
      </c>
      <c r="K121" s="4">
        <v>7.5</v>
      </c>
      <c r="L121" s="8">
        <v>1</v>
      </c>
      <c r="M121" s="10">
        <f t="shared" si="3"/>
        <v>7.5</v>
      </c>
      <c r="N121">
        <v>3</v>
      </c>
      <c r="O121" s="3"/>
      <c r="P121" s="2"/>
      <c r="Q121" s="10">
        <f t="shared" si="4"/>
        <v>7.5</v>
      </c>
    </row>
    <row r="122" spans="1:17" x14ac:dyDescent="0.45">
      <c r="A122">
        <v>121</v>
      </c>
      <c r="B122" s="3">
        <v>44763</v>
      </c>
      <c r="C122" s="44">
        <f t="shared" si="5"/>
        <v>44763</v>
      </c>
      <c r="D122">
        <v>5400</v>
      </c>
      <c r="E122" t="str">
        <f>VLOOKUP(SalesTable[[#This Row],[Salesperson ID]],Salespeople!$A$2:$B$16,2,0)</f>
        <v>Maisha Karzai</v>
      </c>
      <c r="F122">
        <v>18195</v>
      </c>
      <c r="G122" t="s">
        <v>159</v>
      </c>
      <c r="H122" t="s">
        <v>51</v>
      </c>
      <c r="I122" t="s">
        <v>64</v>
      </c>
      <c r="J122" t="str">
        <f>INDEX(Products!$A$2:$C$14,MATCH(SalesTable[[#This Row],[Product ID]],Products!$C$2:$C$14,0),2)</f>
        <v>Oatmeal soap</v>
      </c>
      <c r="K122" s="4">
        <v>5.95</v>
      </c>
      <c r="L122" s="8">
        <v>2</v>
      </c>
      <c r="M122" s="10">
        <f t="shared" si="3"/>
        <v>11.9</v>
      </c>
      <c r="N122">
        <v>1</v>
      </c>
      <c r="O122" s="3"/>
      <c r="P122" s="2"/>
      <c r="Q122" s="10">
        <f t="shared" si="4"/>
        <v>11.9</v>
      </c>
    </row>
    <row r="123" spans="1:17" x14ac:dyDescent="0.45">
      <c r="A123">
        <v>122</v>
      </c>
      <c r="B123" s="3">
        <v>44765</v>
      </c>
      <c r="C123" s="44">
        <f t="shared" si="5"/>
        <v>44765</v>
      </c>
      <c r="D123">
        <v>6678</v>
      </c>
      <c r="E123" t="str">
        <f>VLOOKUP(SalesTable[[#This Row],[Salesperson ID]],Salespeople!$A$2:$B$16,2,0)</f>
        <v>Amalia Ribeiro</v>
      </c>
      <c r="F123">
        <v>23531</v>
      </c>
      <c r="G123" t="s">
        <v>160</v>
      </c>
      <c r="H123" t="s">
        <v>49</v>
      </c>
      <c r="I123" t="s">
        <v>36</v>
      </c>
      <c r="J123" t="str">
        <f>INDEX(Products!$A$2:$C$14,MATCH(SalesTable[[#This Row],[Product ID]],Products!$C$2:$C$14,0),2)</f>
        <v>Goat milk soap</v>
      </c>
      <c r="K123" s="4">
        <v>5.95</v>
      </c>
      <c r="L123" s="8">
        <v>1</v>
      </c>
      <c r="M123" s="10">
        <f t="shared" si="3"/>
        <v>5.95</v>
      </c>
      <c r="N123">
        <v>0</v>
      </c>
      <c r="O123" s="3"/>
      <c r="P123" s="2"/>
      <c r="Q123" s="10">
        <f t="shared" si="4"/>
        <v>5.95</v>
      </c>
    </row>
    <row r="124" spans="1:17" x14ac:dyDescent="0.45">
      <c r="A124">
        <v>123</v>
      </c>
      <c r="B124" s="3">
        <v>44765</v>
      </c>
      <c r="C124" s="44">
        <f t="shared" si="5"/>
        <v>44765</v>
      </c>
      <c r="D124">
        <v>6678</v>
      </c>
      <c r="E124" t="str">
        <f>VLOOKUP(SalesTable[[#This Row],[Salesperson ID]],Salespeople!$A$2:$B$16,2,0)</f>
        <v>Amalia Ribeiro</v>
      </c>
      <c r="F124">
        <v>19112</v>
      </c>
      <c r="G124" t="s">
        <v>136</v>
      </c>
      <c r="H124" t="s">
        <v>35</v>
      </c>
      <c r="I124" t="s">
        <v>57</v>
      </c>
      <c r="J124" t="str">
        <f>INDEX(Products!$A$2:$C$14,MATCH(SalesTable[[#This Row],[Product ID]],Products!$C$2:$C$14,0),2)</f>
        <v>Clover honey</v>
      </c>
      <c r="K124" s="4">
        <v>9</v>
      </c>
      <c r="L124" s="8">
        <v>7</v>
      </c>
      <c r="M124" s="10">
        <f t="shared" si="3"/>
        <v>63</v>
      </c>
      <c r="N124">
        <v>0</v>
      </c>
      <c r="O124" s="3"/>
      <c r="P124" s="2"/>
      <c r="Q124" s="10">
        <f t="shared" si="4"/>
        <v>63</v>
      </c>
    </row>
    <row r="125" spans="1:17" x14ac:dyDescent="0.45">
      <c r="A125">
        <v>124</v>
      </c>
      <c r="B125" s="3">
        <v>44765</v>
      </c>
      <c r="C125" s="44">
        <f t="shared" si="5"/>
        <v>44765</v>
      </c>
      <c r="D125">
        <v>6143</v>
      </c>
      <c r="E125" t="str">
        <f>VLOOKUP(SalesTable[[#This Row],[Salesperson ID]],Salespeople!$A$2:$B$16,2,0)</f>
        <v>Liane Cormier</v>
      </c>
      <c r="F125">
        <v>21321</v>
      </c>
      <c r="G125" t="s">
        <v>161</v>
      </c>
      <c r="H125" t="s">
        <v>78</v>
      </c>
      <c r="I125" t="s">
        <v>61</v>
      </c>
      <c r="J125" t="str">
        <f>INDEX(Products!$A$2:$C$14,MATCH(SalesTable[[#This Row],[Product ID]],Products!$C$2:$C$14,0),2)</f>
        <v>Buckwheat honey</v>
      </c>
      <c r="K125" s="4">
        <v>9</v>
      </c>
      <c r="L125" s="8">
        <v>1</v>
      </c>
      <c r="M125" s="10">
        <f t="shared" si="3"/>
        <v>9</v>
      </c>
      <c r="N125">
        <v>3</v>
      </c>
      <c r="O125" s="3"/>
      <c r="P125" s="2"/>
      <c r="Q125" s="10">
        <f t="shared" si="4"/>
        <v>9</v>
      </c>
    </row>
    <row r="126" spans="1:17" x14ac:dyDescent="0.45">
      <c r="A126">
        <v>125</v>
      </c>
      <c r="B126" s="3">
        <v>44765</v>
      </c>
      <c r="C126" s="44">
        <f t="shared" si="5"/>
        <v>44765</v>
      </c>
      <c r="D126">
        <v>6678</v>
      </c>
      <c r="E126" t="str">
        <f>VLOOKUP(SalesTable[[#This Row],[Salesperson ID]],Salespeople!$A$2:$B$16,2,0)</f>
        <v>Amalia Ribeiro</v>
      </c>
      <c r="F126">
        <v>20051</v>
      </c>
      <c r="G126" t="s">
        <v>91</v>
      </c>
      <c r="H126" t="s">
        <v>92</v>
      </c>
      <c r="I126" t="s">
        <v>82</v>
      </c>
      <c r="J126" t="str">
        <f>INDEX(Products!$A$2:$C$14,MATCH(SalesTable[[#This Row],[Product ID]],Products!$C$2:$C$14,0),2)</f>
        <v>Oatmeal hand and body lotion</v>
      </c>
      <c r="K126" s="4">
        <v>12</v>
      </c>
      <c r="L126" s="8">
        <v>2</v>
      </c>
      <c r="M126" s="10">
        <f t="shared" si="3"/>
        <v>24</v>
      </c>
      <c r="N126">
        <v>1</v>
      </c>
      <c r="O126" s="3"/>
      <c r="P126" s="2"/>
      <c r="Q126" s="10">
        <f t="shared" si="4"/>
        <v>24</v>
      </c>
    </row>
    <row r="127" spans="1:17" x14ac:dyDescent="0.45">
      <c r="A127">
        <v>126</v>
      </c>
      <c r="B127" s="3">
        <v>44765</v>
      </c>
      <c r="C127" s="44">
        <f t="shared" si="5"/>
        <v>44765</v>
      </c>
      <c r="D127">
        <v>5454</v>
      </c>
      <c r="E127" t="str">
        <f>VLOOKUP(SalesTable[[#This Row],[Salesperson ID]],Salespeople!$A$2:$B$16,2,0)</f>
        <v>Anna Cunha</v>
      </c>
      <c r="F127">
        <v>25772</v>
      </c>
      <c r="G127" t="s">
        <v>162</v>
      </c>
      <c r="H127" t="s">
        <v>96</v>
      </c>
      <c r="I127" t="s">
        <v>82</v>
      </c>
      <c r="J127" t="str">
        <f>INDEX(Products!$A$2:$C$14,MATCH(SalesTable[[#This Row],[Product ID]],Products!$C$2:$C$14,0),2)</f>
        <v>Oatmeal hand and body lotion</v>
      </c>
      <c r="K127" s="4">
        <v>12</v>
      </c>
      <c r="L127" s="8">
        <v>5</v>
      </c>
      <c r="M127" s="10">
        <f t="shared" si="3"/>
        <v>60</v>
      </c>
      <c r="N127">
        <v>2</v>
      </c>
      <c r="O127" s="3"/>
      <c r="P127" s="2"/>
      <c r="Q127" s="10">
        <f t="shared" si="4"/>
        <v>60</v>
      </c>
    </row>
    <row r="128" spans="1:17" x14ac:dyDescent="0.45">
      <c r="A128">
        <v>127</v>
      </c>
      <c r="B128" s="3">
        <v>44765</v>
      </c>
      <c r="C128" s="44">
        <f t="shared" si="5"/>
        <v>44765</v>
      </c>
      <c r="D128">
        <v>8064</v>
      </c>
      <c r="E128" t="str">
        <f>VLOOKUP(SalesTable[[#This Row],[Salesperson ID]],Salespeople!$A$2:$B$16,2,0)</f>
        <v>Amal Salazar</v>
      </c>
      <c r="F128">
        <v>17610</v>
      </c>
      <c r="G128" t="s">
        <v>163</v>
      </c>
      <c r="H128" t="s">
        <v>41</v>
      </c>
      <c r="I128" t="s">
        <v>82</v>
      </c>
      <c r="J128" t="str">
        <f>INDEX(Products!$A$2:$C$14,MATCH(SalesTable[[#This Row],[Product ID]],Products!$C$2:$C$14,0),2)</f>
        <v>Oatmeal hand and body lotion</v>
      </c>
      <c r="K128" s="4">
        <v>12</v>
      </c>
      <c r="L128" s="8">
        <v>10</v>
      </c>
      <c r="M128" s="10">
        <f t="shared" si="3"/>
        <v>120</v>
      </c>
      <c r="N128">
        <v>0</v>
      </c>
      <c r="O128" s="3"/>
      <c r="P128" s="2"/>
      <c r="Q128" s="10">
        <f t="shared" si="4"/>
        <v>120</v>
      </c>
    </row>
    <row r="129" spans="1:17" x14ac:dyDescent="0.45">
      <c r="A129">
        <v>128</v>
      </c>
      <c r="B129" s="3">
        <v>44766</v>
      </c>
      <c r="C129" s="44">
        <f t="shared" si="5"/>
        <v>44766</v>
      </c>
      <c r="D129">
        <v>1384</v>
      </c>
      <c r="E129" t="str">
        <f>VLOOKUP(SalesTable[[#This Row],[Salesperson ID]],Salespeople!$A$2:$B$16,2,0)</f>
        <v>Igor Almeida</v>
      </c>
      <c r="F129">
        <v>14342</v>
      </c>
      <c r="G129" t="s">
        <v>164</v>
      </c>
      <c r="H129" t="s">
        <v>84</v>
      </c>
      <c r="I129" t="s">
        <v>68</v>
      </c>
      <c r="J129" t="str">
        <f>INDEX(Products!$A$2:$C$14,MATCH(SalesTable[[#This Row],[Product ID]],Products!$C$2:$C$14,0),2)</f>
        <v>Mixed berry jam</v>
      </c>
      <c r="K129" s="4">
        <v>7.5</v>
      </c>
      <c r="L129" s="8">
        <v>4</v>
      </c>
      <c r="M129" s="10">
        <f t="shared" si="3"/>
        <v>30</v>
      </c>
      <c r="N129">
        <v>0</v>
      </c>
      <c r="O129" s="3"/>
      <c r="P129" s="2"/>
      <c r="Q129" s="10">
        <f t="shared" si="4"/>
        <v>30</v>
      </c>
    </row>
    <row r="130" spans="1:17" x14ac:dyDescent="0.45">
      <c r="A130">
        <v>129</v>
      </c>
      <c r="B130" s="3">
        <v>44766</v>
      </c>
      <c r="C130" s="44">
        <f t="shared" si="5"/>
        <v>44766</v>
      </c>
      <c r="D130">
        <v>6143</v>
      </c>
      <c r="E130" t="str">
        <f>VLOOKUP(SalesTable[[#This Row],[Salesperson ID]],Salespeople!$A$2:$B$16,2,0)</f>
        <v>Liane Cormier</v>
      </c>
      <c r="F130">
        <v>22912</v>
      </c>
      <c r="G130" t="s">
        <v>165</v>
      </c>
      <c r="H130" t="s">
        <v>98</v>
      </c>
      <c r="I130" t="s">
        <v>61</v>
      </c>
      <c r="J130" t="str">
        <f>INDEX(Products!$A$2:$C$14,MATCH(SalesTable[[#This Row],[Product ID]],Products!$C$2:$C$14,0),2)</f>
        <v>Buckwheat honey</v>
      </c>
      <c r="K130" s="4">
        <v>9</v>
      </c>
      <c r="L130" s="8">
        <v>6</v>
      </c>
      <c r="M130" s="10">
        <f t="shared" ref="M130:M193" si="6">K130*L130</f>
        <v>54</v>
      </c>
      <c r="N130">
        <v>2</v>
      </c>
      <c r="O130" s="3"/>
      <c r="P130" s="2"/>
      <c r="Q130" s="10">
        <f t="shared" ref="Q130:Q193" si="7">M130-M130*P130</f>
        <v>54</v>
      </c>
    </row>
    <row r="131" spans="1:17" x14ac:dyDescent="0.45">
      <c r="A131">
        <v>130</v>
      </c>
      <c r="B131" s="3">
        <v>44766</v>
      </c>
      <c r="C131" s="44">
        <f t="shared" ref="C131:C194" si="8">B131</f>
        <v>44766</v>
      </c>
      <c r="D131">
        <v>6678</v>
      </c>
      <c r="E131" t="str">
        <f>VLOOKUP(SalesTable[[#This Row],[Salesperson ID]],Salespeople!$A$2:$B$16,2,0)</f>
        <v>Amalia Ribeiro</v>
      </c>
      <c r="F131">
        <v>10793</v>
      </c>
      <c r="G131" t="s">
        <v>166</v>
      </c>
      <c r="H131" t="s">
        <v>63</v>
      </c>
      <c r="I131" t="s">
        <v>57</v>
      </c>
      <c r="J131" t="str">
        <f>INDEX(Products!$A$2:$C$14,MATCH(SalesTable[[#This Row],[Product ID]],Products!$C$2:$C$14,0),2)</f>
        <v>Clover honey</v>
      </c>
      <c r="K131" s="4">
        <v>9</v>
      </c>
      <c r="L131" s="8">
        <v>2</v>
      </c>
      <c r="M131" s="10">
        <f t="shared" si="6"/>
        <v>18</v>
      </c>
      <c r="N131">
        <v>1</v>
      </c>
      <c r="O131" s="3"/>
      <c r="P131" s="2"/>
      <c r="Q131" s="10">
        <f t="shared" si="7"/>
        <v>18</v>
      </c>
    </row>
    <row r="132" spans="1:17" x14ac:dyDescent="0.45">
      <c r="A132">
        <v>131</v>
      </c>
      <c r="B132" s="3">
        <v>44767</v>
      </c>
      <c r="C132" s="44">
        <f t="shared" si="8"/>
        <v>44767</v>
      </c>
      <c r="D132">
        <v>5400</v>
      </c>
      <c r="E132" t="str">
        <f>VLOOKUP(SalesTable[[#This Row],[Salesperson ID]],Salespeople!$A$2:$B$16,2,0)</f>
        <v>Maisha Karzai</v>
      </c>
      <c r="F132">
        <v>25329</v>
      </c>
      <c r="G132" t="s">
        <v>167</v>
      </c>
      <c r="H132" t="s">
        <v>92</v>
      </c>
      <c r="I132" t="s">
        <v>39</v>
      </c>
      <c r="J132" t="str">
        <f>INDEX(Products!$A$2:$C$14,MATCH(SalesTable[[#This Row],[Product ID]],Products!$C$2:$C$14,0),2)</f>
        <v>Rhubarb-strawberry compote</v>
      </c>
      <c r="K132" s="4">
        <v>8</v>
      </c>
      <c r="L132" s="8">
        <v>10</v>
      </c>
      <c r="M132" s="10">
        <f t="shared" si="6"/>
        <v>80</v>
      </c>
      <c r="N132">
        <v>1</v>
      </c>
      <c r="O132" s="3"/>
      <c r="P132" s="2"/>
      <c r="Q132" s="10">
        <f t="shared" si="7"/>
        <v>80</v>
      </c>
    </row>
    <row r="133" spans="1:17" x14ac:dyDescent="0.45">
      <c r="A133">
        <v>132</v>
      </c>
      <c r="B133" s="3">
        <v>44768</v>
      </c>
      <c r="C133" s="44">
        <f t="shared" si="8"/>
        <v>44768</v>
      </c>
      <c r="D133">
        <v>6143</v>
      </c>
      <c r="E133" t="str">
        <f>VLOOKUP(SalesTable[[#This Row],[Salesperson ID]],Salespeople!$A$2:$B$16,2,0)</f>
        <v>Liane Cormier</v>
      </c>
      <c r="F133">
        <v>20051</v>
      </c>
      <c r="G133" t="s">
        <v>91</v>
      </c>
      <c r="H133" t="s">
        <v>92</v>
      </c>
      <c r="I133" t="s">
        <v>44</v>
      </c>
      <c r="J133" t="str">
        <f>INDEX(Products!$A$2:$C$14,MATCH(SalesTable[[#This Row],[Product ID]],Products!$C$2:$C$14,0),2)</f>
        <v>Goat milk and honey cream</v>
      </c>
      <c r="K133" s="4">
        <v>12</v>
      </c>
      <c r="L133" s="8">
        <v>1</v>
      </c>
      <c r="M133" s="10">
        <f t="shared" si="6"/>
        <v>12</v>
      </c>
      <c r="N133">
        <v>3</v>
      </c>
      <c r="O133" s="3"/>
      <c r="P133" s="2"/>
      <c r="Q133" s="10">
        <f t="shared" si="7"/>
        <v>12</v>
      </c>
    </row>
    <row r="134" spans="1:17" x14ac:dyDescent="0.45">
      <c r="A134">
        <v>133</v>
      </c>
      <c r="B134" s="3">
        <v>44768</v>
      </c>
      <c r="C134" s="44">
        <f t="shared" si="8"/>
        <v>44768</v>
      </c>
      <c r="D134">
        <v>6678</v>
      </c>
      <c r="E134" t="str">
        <f>VLOOKUP(SalesTable[[#This Row],[Salesperson ID]],Salespeople!$A$2:$B$16,2,0)</f>
        <v>Amalia Ribeiro</v>
      </c>
      <c r="F134">
        <v>28317</v>
      </c>
      <c r="G134" t="s">
        <v>168</v>
      </c>
      <c r="H134" t="s">
        <v>51</v>
      </c>
      <c r="I134" t="s">
        <v>57</v>
      </c>
      <c r="J134" t="str">
        <f>INDEX(Products!$A$2:$C$14,MATCH(SalesTable[[#This Row],[Product ID]],Products!$C$2:$C$14,0),2)</f>
        <v>Clover honey</v>
      </c>
      <c r="K134" s="4">
        <v>9</v>
      </c>
      <c r="L134" s="8">
        <v>5</v>
      </c>
      <c r="M134" s="10">
        <f t="shared" si="6"/>
        <v>45</v>
      </c>
      <c r="N134">
        <v>2</v>
      </c>
      <c r="O134" s="3"/>
      <c r="P134" s="2"/>
      <c r="Q134" s="10">
        <f t="shared" si="7"/>
        <v>45</v>
      </c>
    </row>
    <row r="135" spans="1:17" x14ac:dyDescent="0.45">
      <c r="A135">
        <v>134</v>
      </c>
      <c r="B135" s="3">
        <v>44768</v>
      </c>
      <c r="C135" s="44">
        <f t="shared" si="8"/>
        <v>44768</v>
      </c>
      <c r="D135">
        <v>5346</v>
      </c>
      <c r="E135" t="str">
        <f>VLOOKUP(SalesTable[[#This Row],[Salesperson ID]],Salespeople!$A$2:$B$16,2,0)</f>
        <v>Sergio Galvez</v>
      </c>
      <c r="F135">
        <v>22015</v>
      </c>
      <c r="G135" t="s">
        <v>108</v>
      </c>
      <c r="H135" t="s">
        <v>56</v>
      </c>
      <c r="I135" t="s">
        <v>70</v>
      </c>
      <c r="J135" t="str">
        <f>INDEX(Products!$A$2:$C$14,MATCH(SalesTable[[#This Row],[Product ID]],Products!$C$2:$C$14,0),2)</f>
        <v>Strawberry summer soap</v>
      </c>
      <c r="K135" s="4">
        <v>5.95</v>
      </c>
      <c r="L135" s="8">
        <v>5</v>
      </c>
      <c r="M135" s="10">
        <f t="shared" si="6"/>
        <v>29.75</v>
      </c>
      <c r="N135">
        <v>0</v>
      </c>
      <c r="O135" s="3"/>
      <c r="P135" s="2"/>
      <c r="Q135" s="10">
        <f t="shared" si="7"/>
        <v>29.75</v>
      </c>
    </row>
    <row r="136" spans="1:17" x14ac:dyDescent="0.45">
      <c r="A136">
        <v>135</v>
      </c>
      <c r="B136" s="3">
        <v>44769</v>
      </c>
      <c r="C136" s="44">
        <f t="shared" si="8"/>
        <v>44769</v>
      </c>
      <c r="D136">
        <v>8064</v>
      </c>
      <c r="E136" t="str">
        <f>VLOOKUP(SalesTable[[#This Row],[Salesperson ID]],Salespeople!$A$2:$B$16,2,0)</f>
        <v>Amal Salazar</v>
      </c>
      <c r="F136">
        <v>18962</v>
      </c>
      <c r="G136" t="s">
        <v>169</v>
      </c>
      <c r="H136" t="s">
        <v>51</v>
      </c>
      <c r="I136" t="s">
        <v>52</v>
      </c>
      <c r="J136" t="str">
        <f>INDEX(Products!$A$2:$C$14,MATCH(SalesTable[[#This Row],[Product ID]],Products!$C$2:$C$14,0),2)</f>
        <v>Strawberry jam</v>
      </c>
      <c r="K136" s="4">
        <v>7.5</v>
      </c>
      <c r="L136" s="8">
        <v>8</v>
      </c>
      <c r="M136" s="10">
        <f t="shared" si="6"/>
        <v>60</v>
      </c>
      <c r="N136">
        <v>2</v>
      </c>
      <c r="O136" s="3"/>
      <c r="P136" s="2"/>
      <c r="Q136" s="10">
        <f t="shared" si="7"/>
        <v>60</v>
      </c>
    </row>
    <row r="137" spans="1:17" x14ac:dyDescent="0.45">
      <c r="A137">
        <v>136</v>
      </c>
      <c r="B137" s="3">
        <v>44769</v>
      </c>
      <c r="C137" s="44">
        <f t="shared" si="8"/>
        <v>44769</v>
      </c>
      <c r="D137">
        <v>1384</v>
      </c>
      <c r="E137" t="str">
        <f>VLOOKUP(SalesTable[[#This Row],[Salesperson ID]],Salespeople!$A$2:$B$16,2,0)</f>
        <v>Igor Almeida</v>
      </c>
      <c r="F137">
        <v>21339</v>
      </c>
      <c r="G137" t="s">
        <v>75</v>
      </c>
      <c r="H137" t="s">
        <v>41</v>
      </c>
      <c r="I137" t="s">
        <v>82</v>
      </c>
      <c r="J137" t="str">
        <f>INDEX(Products!$A$2:$C$14,MATCH(SalesTable[[#This Row],[Product ID]],Products!$C$2:$C$14,0),2)</f>
        <v>Oatmeal hand and body lotion</v>
      </c>
      <c r="K137" s="4">
        <v>12</v>
      </c>
      <c r="L137" s="8">
        <v>8</v>
      </c>
      <c r="M137" s="10">
        <f t="shared" si="6"/>
        <v>96</v>
      </c>
      <c r="N137">
        <v>3</v>
      </c>
      <c r="O137" s="3"/>
      <c r="P137" s="2"/>
      <c r="Q137" s="10">
        <f t="shared" si="7"/>
        <v>96</v>
      </c>
    </row>
    <row r="138" spans="1:17" x14ac:dyDescent="0.45">
      <c r="A138">
        <v>137</v>
      </c>
      <c r="B138" s="3">
        <v>44770</v>
      </c>
      <c r="C138" s="44">
        <f t="shared" si="8"/>
        <v>44770</v>
      </c>
      <c r="D138">
        <v>6892</v>
      </c>
      <c r="E138" t="str">
        <f>VLOOKUP(SalesTable[[#This Row],[Salesperson ID]],Salespeople!$A$2:$B$16,2,0)</f>
        <v>Fahd Sleiman</v>
      </c>
      <c r="F138">
        <v>16953</v>
      </c>
      <c r="G138" t="s">
        <v>170</v>
      </c>
      <c r="H138" t="s">
        <v>41</v>
      </c>
      <c r="I138" t="s">
        <v>44</v>
      </c>
      <c r="J138" t="str">
        <f>INDEX(Products!$A$2:$C$14,MATCH(SalesTable[[#This Row],[Product ID]],Products!$C$2:$C$14,0),2)</f>
        <v>Goat milk and honey cream</v>
      </c>
      <c r="K138" s="4">
        <v>12</v>
      </c>
      <c r="L138" s="8">
        <v>6</v>
      </c>
      <c r="M138" s="10">
        <f t="shared" si="6"/>
        <v>72</v>
      </c>
      <c r="N138">
        <v>2</v>
      </c>
      <c r="O138" s="3"/>
      <c r="P138" s="2"/>
      <c r="Q138" s="10">
        <f t="shared" si="7"/>
        <v>72</v>
      </c>
    </row>
    <row r="139" spans="1:17" x14ac:dyDescent="0.45">
      <c r="A139">
        <v>138</v>
      </c>
      <c r="B139" s="3">
        <v>44770</v>
      </c>
      <c r="C139" s="44">
        <f t="shared" si="8"/>
        <v>44770</v>
      </c>
      <c r="D139">
        <v>8064</v>
      </c>
      <c r="E139" t="str">
        <f>VLOOKUP(SalesTable[[#This Row],[Salesperson ID]],Salespeople!$A$2:$B$16,2,0)</f>
        <v>Amal Salazar</v>
      </c>
      <c r="F139">
        <v>22912</v>
      </c>
      <c r="G139" t="s">
        <v>165</v>
      </c>
      <c r="H139" t="s">
        <v>98</v>
      </c>
      <c r="I139" t="s">
        <v>52</v>
      </c>
      <c r="J139" t="str">
        <f>INDEX(Products!$A$2:$C$14,MATCH(SalesTable[[#This Row],[Product ID]],Products!$C$2:$C$14,0),2)</f>
        <v>Strawberry jam</v>
      </c>
      <c r="K139" s="4">
        <v>7.5</v>
      </c>
      <c r="L139" s="8">
        <v>7</v>
      </c>
      <c r="M139" s="10">
        <f t="shared" si="6"/>
        <v>52.5</v>
      </c>
      <c r="N139">
        <v>3</v>
      </c>
      <c r="O139" s="3"/>
      <c r="P139" s="2"/>
      <c r="Q139" s="10">
        <f t="shared" si="7"/>
        <v>52.5</v>
      </c>
    </row>
    <row r="140" spans="1:17" x14ac:dyDescent="0.45">
      <c r="A140">
        <v>139</v>
      </c>
      <c r="B140" s="3">
        <v>44771</v>
      </c>
      <c r="C140" s="44">
        <f t="shared" si="8"/>
        <v>44771</v>
      </c>
      <c r="D140">
        <v>6143</v>
      </c>
      <c r="E140" t="str">
        <f>VLOOKUP(SalesTable[[#This Row],[Salesperson ID]],Salespeople!$A$2:$B$16,2,0)</f>
        <v>Liane Cormier</v>
      </c>
      <c r="F140">
        <v>22829</v>
      </c>
      <c r="G140" t="s">
        <v>171</v>
      </c>
      <c r="H140" t="s">
        <v>38</v>
      </c>
      <c r="I140" t="s">
        <v>52</v>
      </c>
      <c r="J140" t="str">
        <f>INDEX(Products!$A$2:$C$14,MATCH(SalesTable[[#This Row],[Product ID]],Products!$C$2:$C$14,0),2)</f>
        <v>Strawberry jam</v>
      </c>
      <c r="K140" s="4">
        <v>7.5</v>
      </c>
      <c r="L140" s="8">
        <v>4</v>
      </c>
      <c r="M140" s="10">
        <f t="shared" si="6"/>
        <v>30</v>
      </c>
      <c r="N140">
        <v>2</v>
      </c>
      <c r="O140" s="3"/>
      <c r="P140" s="2"/>
      <c r="Q140" s="10">
        <f t="shared" si="7"/>
        <v>30</v>
      </c>
    </row>
    <row r="141" spans="1:17" x14ac:dyDescent="0.45">
      <c r="A141">
        <v>140</v>
      </c>
      <c r="B141" s="3">
        <v>44772</v>
      </c>
      <c r="C141" s="44">
        <f t="shared" si="8"/>
        <v>44772</v>
      </c>
      <c r="D141">
        <v>6464</v>
      </c>
      <c r="E141" t="str">
        <f>VLOOKUP(SalesTable[[#This Row],[Salesperson ID]],Salespeople!$A$2:$B$16,2,0)</f>
        <v>Hamal Azzi</v>
      </c>
      <c r="F141">
        <v>15464</v>
      </c>
      <c r="G141" t="s">
        <v>144</v>
      </c>
      <c r="H141" t="s">
        <v>145</v>
      </c>
      <c r="I141" t="s">
        <v>99</v>
      </c>
      <c r="J141" t="str">
        <f>INDEX(Products!$A$2:$C$14,MATCH(SalesTable[[#This Row],[Product ID]],Products!$C$2:$C$14,0),2)</f>
        <v>Goat milk hand and body lotion</v>
      </c>
      <c r="K141" s="4">
        <v>12</v>
      </c>
      <c r="L141" s="8">
        <v>3</v>
      </c>
      <c r="M141" s="10">
        <f t="shared" si="6"/>
        <v>36</v>
      </c>
      <c r="N141">
        <v>2</v>
      </c>
      <c r="O141" s="3"/>
      <c r="P141" s="2"/>
      <c r="Q141" s="10">
        <f t="shared" si="7"/>
        <v>36</v>
      </c>
    </row>
    <row r="142" spans="1:17" x14ac:dyDescent="0.45">
      <c r="A142">
        <v>141</v>
      </c>
      <c r="B142" s="3">
        <v>44772</v>
      </c>
      <c r="C142" s="44">
        <f t="shared" si="8"/>
        <v>44772</v>
      </c>
      <c r="D142">
        <v>5346</v>
      </c>
      <c r="E142" t="str">
        <f>VLOOKUP(SalesTable[[#This Row],[Salesperson ID]],Salespeople!$A$2:$B$16,2,0)</f>
        <v>Sergio Galvez</v>
      </c>
      <c r="F142">
        <v>23455</v>
      </c>
      <c r="G142" t="s">
        <v>119</v>
      </c>
      <c r="H142" t="s">
        <v>46</v>
      </c>
      <c r="I142" t="s">
        <v>70</v>
      </c>
      <c r="J142" t="str">
        <f>INDEX(Products!$A$2:$C$14,MATCH(SalesTable[[#This Row],[Product ID]],Products!$C$2:$C$14,0),2)</f>
        <v>Strawberry summer soap</v>
      </c>
      <c r="K142" s="4">
        <v>5.95</v>
      </c>
      <c r="L142" s="8">
        <v>1</v>
      </c>
      <c r="M142" s="10">
        <f t="shared" si="6"/>
        <v>5.95</v>
      </c>
      <c r="N142">
        <v>2</v>
      </c>
      <c r="O142" s="3"/>
      <c r="P142" s="2"/>
      <c r="Q142" s="10">
        <f t="shared" si="7"/>
        <v>5.95</v>
      </c>
    </row>
    <row r="143" spans="1:17" x14ac:dyDescent="0.45">
      <c r="A143">
        <v>142</v>
      </c>
      <c r="B143" s="3">
        <v>44772</v>
      </c>
      <c r="C143" s="44">
        <f t="shared" si="8"/>
        <v>44772</v>
      </c>
      <c r="D143">
        <v>5400</v>
      </c>
      <c r="E143" t="str">
        <f>VLOOKUP(SalesTable[[#This Row],[Salesperson ID]],Salespeople!$A$2:$B$16,2,0)</f>
        <v>Maisha Karzai</v>
      </c>
      <c r="F143">
        <v>17376</v>
      </c>
      <c r="G143" t="s">
        <v>172</v>
      </c>
      <c r="H143" t="s">
        <v>41</v>
      </c>
      <c r="I143" t="s">
        <v>61</v>
      </c>
      <c r="J143" t="str">
        <f>INDEX(Products!$A$2:$C$14,MATCH(SalesTable[[#This Row],[Product ID]],Products!$C$2:$C$14,0),2)</f>
        <v>Buckwheat honey</v>
      </c>
      <c r="K143" s="4">
        <v>9</v>
      </c>
      <c r="L143" s="8">
        <v>3</v>
      </c>
      <c r="M143" s="10">
        <f t="shared" si="6"/>
        <v>27</v>
      </c>
      <c r="N143">
        <v>0</v>
      </c>
      <c r="O143" s="3"/>
      <c r="P143" s="2"/>
      <c r="Q143" s="10">
        <f t="shared" si="7"/>
        <v>27</v>
      </c>
    </row>
    <row r="144" spans="1:17" x14ac:dyDescent="0.45">
      <c r="A144">
        <v>143</v>
      </c>
      <c r="B144" s="3">
        <v>44772</v>
      </c>
      <c r="C144" s="44">
        <f t="shared" si="8"/>
        <v>44772</v>
      </c>
      <c r="D144">
        <v>6143</v>
      </c>
      <c r="E144" t="str">
        <f>VLOOKUP(SalesTable[[#This Row],[Salesperson ID]],Salespeople!$A$2:$B$16,2,0)</f>
        <v>Liane Cormier</v>
      </c>
      <c r="F144">
        <v>21104</v>
      </c>
      <c r="G144" t="s">
        <v>126</v>
      </c>
      <c r="H144" t="s">
        <v>51</v>
      </c>
      <c r="I144" t="s">
        <v>61</v>
      </c>
      <c r="J144" t="str">
        <f>INDEX(Products!$A$2:$C$14,MATCH(SalesTable[[#This Row],[Product ID]],Products!$C$2:$C$14,0),2)</f>
        <v>Buckwheat honey</v>
      </c>
      <c r="K144" s="4">
        <v>9</v>
      </c>
      <c r="L144" s="8">
        <v>2</v>
      </c>
      <c r="M144" s="10">
        <f t="shared" si="6"/>
        <v>18</v>
      </c>
      <c r="N144">
        <v>1</v>
      </c>
      <c r="O144" s="3"/>
      <c r="P144" s="2"/>
      <c r="Q144" s="10">
        <f t="shared" si="7"/>
        <v>18</v>
      </c>
    </row>
    <row r="145" spans="1:17" x14ac:dyDescent="0.45">
      <c r="A145">
        <v>144</v>
      </c>
      <c r="B145" s="3">
        <v>44773</v>
      </c>
      <c r="C145" s="44">
        <f t="shared" si="8"/>
        <v>44773</v>
      </c>
      <c r="D145">
        <v>5418</v>
      </c>
      <c r="E145" t="str">
        <f>VLOOKUP(SalesTable[[#This Row],[Salesperson ID]],Salespeople!$A$2:$B$16,2,0)</f>
        <v>Isabell  Couture</v>
      </c>
      <c r="F145">
        <v>27850</v>
      </c>
      <c r="G145" t="s">
        <v>173</v>
      </c>
      <c r="H145" t="s">
        <v>38</v>
      </c>
      <c r="I145" t="s">
        <v>64</v>
      </c>
      <c r="J145" t="str">
        <f>INDEX(Products!$A$2:$C$14,MATCH(SalesTable[[#This Row],[Product ID]],Products!$C$2:$C$14,0),2)</f>
        <v>Oatmeal soap</v>
      </c>
      <c r="K145" s="4">
        <v>5.95</v>
      </c>
      <c r="L145" s="8">
        <v>3</v>
      </c>
      <c r="M145" s="10">
        <f t="shared" si="6"/>
        <v>17.850000000000001</v>
      </c>
      <c r="N145">
        <v>2</v>
      </c>
      <c r="O145" s="3"/>
      <c r="P145" s="2"/>
      <c r="Q145" s="10">
        <f t="shared" si="7"/>
        <v>17.850000000000001</v>
      </c>
    </row>
    <row r="146" spans="1:17" x14ac:dyDescent="0.45">
      <c r="A146">
        <v>145</v>
      </c>
      <c r="B146" s="3">
        <v>44774</v>
      </c>
      <c r="C146" s="44">
        <f t="shared" si="8"/>
        <v>44774</v>
      </c>
      <c r="D146">
        <v>6143</v>
      </c>
      <c r="E146" t="str">
        <f>VLOOKUP(SalesTable[[#This Row],[Salesperson ID]],Salespeople!$A$2:$B$16,2,0)</f>
        <v>Liane Cormier</v>
      </c>
      <c r="F146">
        <v>21959</v>
      </c>
      <c r="G146" t="s">
        <v>87</v>
      </c>
      <c r="H146" t="s">
        <v>88</v>
      </c>
      <c r="I146" t="s">
        <v>61</v>
      </c>
      <c r="J146" t="str">
        <f>INDEX(Products!$A$2:$C$14,MATCH(SalesTable[[#This Row],[Product ID]],Products!$C$2:$C$14,0),2)</f>
        <v>Buckwheat honey</v>
      </c>
      <c r="K146" s="4">
        <v>9</v>
      </c>
      <c r="L146" s="8">
        <v>8</v>
      </c>
      <c r="M146" s="10">
        <f t="shared" si="6"/>
        <v>72</v>
      </c>
      <c r="N146">
        <v>1</v>
      </c>
      <c r="O146" s="3"/>
      <c r="P146" s="2"/>
      <c r="Q146" s="10">
        <f t="shared" si="7"/>
        <v>72</v>
      </c>
    </row>
    <row r="147" spans="1:17" x14ac:dyDescent="0.45">
      <c r="A147">
        <v>146</v>
      </c>
      <c r="B147" s="3">
        <v>44775</v>
      </c>
      <c r="C147" s="44">
        <f t="shared" si="8"/>
        <v>44775</v>
      </c>
      <c r="D147">
        <v>5346</v>
      </c>
      <c r="E147" t="str">
        <f>VLOOKUP(SalesTable[[#This Row],[Salesperson ID]],Salespeople!$A$2:$B$16,2,0)</f>
        <v>Sergio Galvez</v>
      </c>
      <c r="F147">
        <v>27995</v>
      </c>
      <c r="G147" t="s">
        <v>104</v>
      </c>
      <c r="H147" t="s">
        <v>43</v>
      </c>
      <c r="I147" t="s">
        <v>82</v>
      </c>
      <c r="J147" t="str">
        <f>INDEX(Products!$A$2:$C$14,MATCH(SalesTable[[#This Row],[Product ID]],Products!$C$2:$C$14,0),2)</f>
        <v>Oatmeal hand and body lotion</v>
      </c>
      <c r="K147" s="4">
        <v>12</v>
      </c>
      <c r="L147" s="8">
        <v>3</v>
      </c>
      <c r="M147" s="10">
        <f t="shared" si="6"/>
        <v>36</v>
      </c>
      <c r="N147">
        <v>2</v>
      </c>
      <c r="O147" s="3"/>
      <c r="P147" s="2"/>
      <c r="Q147" s="10">
        <f t="shared" si="7"/>
        <v>36</v>
      </c>
    </row>
    <row r="148" spans="1:17" x14ac:dyDescent="0.45">
      <c r="A148">
        <v>147</v>
      </c>
      <c r="B148" s="3">
        <v>44775</v>
      </c>
      <c r="C148" s="44">
        <f t="shared" si="8"/>
        <v>44775</v>
      </c>
      <c r="D148">
        <v>8064</v>
      </c>
      <c r="E148" t="str">
        <f>VLOOKUP(SalesTable[[#This Row],[Salesperson ID]],Salespeople!$A$2:$B$16,2,0)</f>
        <v>Amal Salazar</v>
      </c>
      <c r="F148">
        <v>22094</v>
      </c>
      <c r="G148" t="s">
        <v>74</v>
      </c>
      <c r="H148" t="s">
        <v>51</v>
      </c>
      <c r="I148" t="s">
        <v>36</v>
      </c>
      <c r="J148" t="str">
        <f>INDEX(Products!$A$2:$C$14,MATCH(SalesTable[[#This Row],[Product ID]],Products!$C$2:$C$14,0),2)</f>
        <v>Goat milk soap</v>
      </c>
      <c r="K148" s="4">
        <v>5.95</v>
      </c>
      <c r="L148" s="8">
        <v>4</v>
      </c>
      <c r="M148" s="10">
        <f t="shared" si="6"/>
        <v>23.8</v>
      </c>
      <c r="N148">
        <v>2</v>
      </c>
      <c r="O148" s="3"/>
      <c r="P148" s="2"/>
      <c r="Q148" s="10">
        <f t="shared" si="7"/>
        <v>23.8</v>
      </c>
    </row>
    <row r="149" spans="1:17" x14ac:dyDescent="0.45">
      <c r="A149">
        <v>148</v>
      </c>
      <c r="B149" s="3">
        <v>44775</v>
      </c>
      <c r="C149" s="44">
        <f t="shared" si="8"/>
        <v>44775</v>
      </c>
      <c r="D149">
        <v>6571</v>
      </c>
      <c r="E149" t="str">
        <f>VLOOKUP(SalesTable[[#This Row],[Salesperson ID]],Salespeople!$A$2:$B$16,2,0)</f>
        <v>Iker Dominguez</v>
      </c>
      <c r="F149">
        <v>26350</v>
      </c>
      <c r="G149" t="s">
        <v>174</v>
      </c>
      <c r="H149" t="s">
        <v>84</v>
      </c>
      <c r="I149" t="s">
        <v>52</v>
      </c>
      <c r="J149" t="str">
        <f>INDEX(Products!$A$2:$C$14,MATCH(SalesTable[[#This Row],[Product ID]],Products!$C$2:$C$14,0),2)</f>
        <v>Strawberry jam</v>
      </c>
      <c r="K149" s="4">
        <v>7.5</v>
      </c>
      <c r="L149" s="8">
        <v>3</v>
      </c>
      <c r="M149" s="10">
        <f t="shared" si="6"/>
        <v>22.5</v>
      </c>
      <c r="N149">
        <v>0</v>
      </c>
      <c r="O149" s="3"/>
      <c r="P149" s="2"/>
      <c r="Q149" s="10">
        <f t="shared" si="7"/>
        <v>22.5</v>
      </c>
    </row>
    <row r="150" spans="1:17" x14ac:dyDescent="0.45">
      <c r="A150">
        <v>149</v>
      </c>
      <c r="B150" s="3">
        <v>44776</v>
      </c>
      <c r="C150" s="44">
        <f t="shared" si="8"/>
        <v>44776</v>
      </c>
      <c r="D150">
        <v>6892</v>
      </c>
      <c r="E150" t="str">
        <f>VLOOKUP(SalesTable[[#This Row],[Salesperson ID]],Salespeople!$A$2:$B$16,2,0)</f>
        <v>Fahd Sleiman</v>
      </c>
      <c r="F150">
        <v>15868</v>
      </c>
      <c r="G150" t="s">
        <v>175</v>
      </c>
      <c r="H150" t="s">
        <v>88</v>
      </c>
      <c r="I150" t="s">
        <v>61</v>
      </c>
      <c r="J150" t="str">
        <f>INDEX(Products!$A$2:$C$14,MATCH(SalesTable[[#This Row],[Product ID]],Products!$C$2:$C$14,0),2)</f>
        <v>Buckwheat honey</v>
      </c>
      <c r="K150" s="4">
        <v>9</v>
      </c>
      <c r="L150" s="8">
        <v>8</v>
      </c>
      <c r="M150" s="10">
        <f t="shared" si="6"/>
        <v>72</v>
      </c>
      <c r="N150">
        <v>2</v>
      </c>
      <c r="O150" s="3"/>
      <c r="P150" s="2"/>
      <c r="Q150" s="10">
        <f t="shared" si="7"/>
        <v>72</v>
      </c>
    </row>
    <row r="151" spans="1:17" x14ac:dyDescent="0.45">
      <c r="A151">
        <v>150</v>
      </c>
      <c r="B151" s="3">
        <v>44776</v>
      </c>
      <c r="C151" s="44">
        <f t="shared" si="8"/>
        <v>44776</v>
      </c>
      <c r="D151">
        <v>6143</v>
      </c>
      <c r="E151" t="str">
        <f>VLOOKUP(SalesTable[[#This Row],[Salesperson ID]],Salespeople!$A$2:$B$16,2,0)</f>
        <v>Liane Cormier</v>
      </c>
      <c r="F151">
        <v>14342</v>
      </c>
      <c r="G151" t="s">
        <v>164</v>
      </c>
      <c r="H151" t="s">
        <v>84</v>
      </c>
      <c r="I151" t="s">
        <v>47</v>
      </c>
      <c r="J151" t="str">
        <f>INDEX(Products!$A$2:$C$14,MATCH(SalesTable[[#This Row],[Product ID]],Products!$C$2:$C$14,0),2)</f>
        <v>Mixed berry jelly</v>
      </c>
      <c r="K151" s="4">
        <v>7.5</v>
      </c>
      <c r="L151" s="8">
        <v>8</v>
      </c>
      <c r="M151" s="10">
        <f t="shared" si="6"/>
        <v>60</v>
      </c>
      <c r="N151">
        <v>2</v>
      </c>
      <c r="O151" s="3"/>
      <c r="P151" s="2"/>
      <c r="Q151" s="10">
        <f t="shared" si="7"/>
        <v>60</v>
      </c>
    </row>
    <row r="152" spans="1:17" x14ac:dyDescent="0.45">
      <c r="A152">
        <v>151</v>
      </c>
      <c r="B152" s="3">
        <v>44776</v>
      </c>
      <c r="C152" s="44">
        <f t="shared" si="8"/>
        <v>44776</v>
      </c>
      <c r="D152">
        <v>4350</v>
      </c>
      <c r="E152" t="str">
        <f>VLOOKUP(SalesTable[[#This Row],[Salesperson ID]],Salespeople!$A$2:$B$16,2,0)</f>
        <v>Mukhtar Masih</v>
      </c>
      <c r="F152">
        <v>17696</v>
      </c>
      <c r="G152" t="s">
        <v>176</v>
      </c>
      <c r="H152" t="s">
        <v>49</v>
      </c>
      <c r="I152" t="s">
        <v>68</v>
      </c>
      <c r="J152" t="str">
        <f>INDEX(Products!$A$2:$C$14,MATCH(SalesTable[[#This Row],[Product ID]],Products!$C$2:$C$14,0),2)</f>
        <v>Mixed berry jam</v>
      </c>
      <c r="K152" s="4">
        <v>7.5</v>
      </c>
      <c r="L152" s="8">
        <v>2</v>
      </c>
      <c r="M152" s="10">
        <f t="shared" si="6"/>
        <v>15</v>
      </c>
      <c r="N152">
        <v>2</v>
      </c>
      <c r="O152" s="3"/>
      <c r="P152" s="2"/>
      <c r="Q152" s="10">
        <f t="shared" si="7"/>
        <v>15</v>
      </c>
    </row>
    <row r="153" spans="1:17" x14ac:dyDescent="0.45">
      <c r="A153">
        <v>152</v>
      </c>
      <c r="B153" s="3">
        <v>44777</v>
      </c>
      <c r="C153" s="44">
        <f t="shared" si="8"/>
        <v>44777</v>
      </c>
      <c r="D153">
        <v>6143</v>
      </c>
      <c r="E153" t="str">
        <f>VLOOKUP(SalesTable[[#This Row],[Salesperson ID]],Salespeople!$A$2:$B$16,2,0)</f>
        <v>Liane Cormier</v>
      </c>
      <c r="F153">
        <v>17252</v>
      </c>
      <c r="G153" t="s">
        <v>122</v>
      </c>
      <c r="H153" t="s">
        <v>78</v>
      </c>
      <c r="I153" t="s">
        <v>59</v>
      </c>
      <c r="J153" t="str">
        <f>INDEX(Products!$A$2:$C$14,MATCH(SalesTable[[#This Row],[Product ID]],Products!$C$2:$C$14,0),2)</f>
        <v>Wildflower honey</v>
      </c>
      <c r="K153" s="4">
        <v>9</v>
      </c>
      <c r="L153" s="8">
        <v>2</v>
      </c>
      <c r="M153" s="10">
        <f t="shared" si="6"/>
        <v>18</v>
      </c>
      <c r="N153">
        <v>0</v>
      </c>
      <c r="O153" s="3"/>
      <c r="P153" s="2"/>
      <c r="Q153" s="10">
        <f t="shared" si="7"/>
        <v>18</v>
      </c>
    </row>
    <row r="154" spans="1:17" x14ac:dyDescent="0.45">
      <c r="A154">
        <v>153</v>
      </c>
      <c r="B154" s="3">
        <v>44778</v>
      </c>
      <c r="C154" s="44">
        <f t="shared" si="8"/>
        <v>44778</v>
      </c>
      <c r="D154">
        <v>5400</v>
      </c>
      <c r="E154" t="str">
        <f>VLOOKUP(SalesTable[[#This Row],[Salesperson ID]],Salespeople!$A$2:$B$16,2,0)</f>
        <v>Maisha Karzai</v>
      </c>
      <c r="F154">
        <v>21339</v>
      </c>
      <c r="G154" t="s">
        <v>75</v>
      </c>
      <c r="H154" t="s">
        <v>41</v>
      </c>
      <c r="I154" t="s">
        <v>99</v>
      </c>
      <c r="J154" t="str">
        <f>INDEX(Products!$A$2:$C$14,MATCH(SalesTable[[#This Row],[Product ID]],Products!$C$2:$C$14,0),2)</f>
        <v>Goat milk hand and body lotion</v>
      </c>
      <c r="K154" s="4">
        <v>12</v>
      </c>
      <c r="L154" s="8">
        <v>9</v>
      </c>
      <c r="M154" s="10">
        <f t="shared" si="6"/>
        <v>108</v>
      </c>
      <c r="N154">
        <v>3</v>
      </c>
      <c r="O154" s="3"/>
      <c r="P154" s="2"/>
      <c r="Q154" s="10">
        <f t="shared" si="7"/>
        <v>108</v>
      </c>
    </row>
    <row r="155" spans="1:17" x14ac:dyDescent="0.45">
      <c r="A155">
        <v>154</v>
      </c>
      <c r="B155" s="3">
        <v>44778</v>
      </c>
      <c r="C155" s="44">
        <f t="shared" si="8"/>
        <v>44778</v>
      </c>
      <c r="D155">
        <v>6678</v>
      </c>
      <c r="E155" t="str">
        <f>VLOOKUP(SalesTable[[#This Row],[Salesperson ID]],Salespeople!$A$2:$B$16,2,0)</f>
        <v>Amalia Ribeiro</v>
      </c>
      <c r="F155">
        <v>11959</v>
      </c>
      <c r="G155" t="s">
        <v>177</v>
      </c>
      <c r="H155" t="s">
        <v>98</v>
      </c>
      <c r="I155" t="s">
        <v>36</v>
      </c>
      <c r="J155" t="str">
        <f>INDEX(Products!$A$2:$C$14,MATCH(SalesTable[[#This Row],[Product ID]],Products!$C$2:$C$14,0),2)</f>
        <v>Goat milk soap</v>
      </c>
      <c r="K155" s="4">
        <v>5.95</v>
      </c>
      <c r="L155" s="8">
        <v>6</v>
      </c>
      <c r="M155" s="10">
        <f t="shared" si="6"/>
        <v>35.700000000000003</v>
      </c>
      <c r="N155">
        <v>3</v>
      </c>
      <c r="O155" s="3"/>
      <c r="P155" s="2"/>
      <c r="Q155" s="10">
        <f t="shared" si="7"/>
        <v>35.700000000000003</v>
      </c>
    </row>
    <row r="156" spans="1:17" x14ac:dyDescent="0.45">
      <c r="A156">
        <v>155</v>
      </c>
      <c r="B156" s="3">
        <v>44778</v>
      </c>
      <c r="C156" s="44">
        <f t="shared" si="8"/>
        <v>44778</v>
      </c>
      <c r="D156">
        <v>6678</v>
      </c>
      <c r="E156" t="str">
        <f>VLOOKUP(SalesTable[[#This Row],[Salesperson ID]],Salespeople!$A$2:$B$16,2,0)</f>
        <v>Amalia Ribeiro</v>
      </c>
      <c r="F156">
        <v>24302</v>
      </c>
      <c r="G156" t="s">
        <v>178</v>
      </c>
      <c r="H156" t="s">
        <v>43</v>
      </c>
      <c r="I156" t="s">
        <v>70</v>
      </c>
      <c r="J156" t="str">
        <f>INDEX(Products!$A$2:$C$14,MATCH(SalesTable[[#This Row],[Product ID]],Products!$C$2:$C$14,0),2)</f>
        <v>Strawberry summer soap</v>
      </c>
      <c r="K156" s="4">
        <v>5.95</v>
      </c>
      <c r="L156" s="8">
        <v>8</v>
      </c>
      <c r="M156" s="10">
        <f t="shared" si="6"/>
        <v>47.6</v>
      </c>
      <c r="N156">
        <v>0</v>
      </c>
      <c r="O156" s="3"/>
      <c r="P156" s="2"/>
      <c r="Q156" s="10">
        <f t="shared" si="7"/>
        <v>47.6</v>
      </c>
    </row>
    <row r="157" spans="1:17" x14ac:dyDescent="0.45">
      <c r="A157">
        <v>156</v>
      </c>
      <c r="B157" s="3">
        <v>44779</v>
      </c>
      <c r="C157" s="44">
        <f t="shared" si="8"/>
        <v>44779</v>
      </c>
      <c r="D157">
        <v>6892</v>
      </c>
      <c r="E157" t="str">
        <f>VLOOKUP(SalesTable[[#This Row],[Salesperson ID]],Salespeople!$A$2:$B$16,2,0)</f>
        <v>Fahd Sleiman</v>
      </c>
      <c r="F157">
        <v>17640</v>
      </c>
      <c r="G157" t="s">
        <v>179</v>
      </c>
      <c r="H157" t="s">
        <v>66</v>
      </c>
      <c r="I157" t="s">
        <v>70</v>
      </c>
      <c r="J157" t="str">
        <f>INDEX(Products!$A$2:$C$14,MATCH(SalesTable[[#This Row],[Product ID]],Products!$C$2:$C$14,0),2)</f>
        <v>Strawberry summer soap</v>
      </c>
      <c r="K157" s="4">
        <v>5.95</v>
      </c>
      <c r="L157" s="8">
        <v>9</v>
      </c>
      <c r="M157" s="10">
        <f t="shared" si="6"/>
        <v>53.550000000000004</v>
      </c>
      <c r="N157">
        <v>1</v>
      </c>
      <c r="O157" s="3"/>
      <c r="P157" s="2"/>
      <c r="Q157" s="10">
        <f t="shared" si="7"/>
        <v>53.550000000000004</v>
      </c>
    </row>
    <row r="158" spans="1:17" x14ac:dyDescent="0.45">
      <c r="A158">
        <v>157</v>
      </c>
      <c r="B158" s="3">
        <v>44779</v>
      </c>
      <c r="C158" s="44">
        <f t="shared" si="8"/>
        <v>44779</v>
      </c>
      <c r="D158">
        <v>6678</v>
      </c>
      <c r="E158" t="str">
        <f>VLOOKUP(SalesTable[[#This Row],[Salesperson ID]],Salespeople!$A$2:$B$16,2,0)</f>
        <v>Amalia Ribeiro</v>
      </c>
      <c r="F158">
        <v>15256</v>
      </c>
      <c r="G158" t="s">
        <v>71</v>
      </c>
      <c r="H158" t="s">
        <v>51</v>
      </c>
      <c r="I158" t="s">
        <v>99</v>
      </c>
      <c r="J158" t="str">
        <f>INDEX(Products!$A$2:$C$14,MATCH(SalesTable[[#This Row],[Product ID]],Products!$C$2:$C$14,0),2)</f>
        <v>Goat milk hand and body lotion</v>
      </c>
      <c r="K158" s="4">
        <v>12</v>
      </c>
      <c r="L158" s="8">
        <v>6</v>
      </c>
      <c r="M158" s="10">
        <f t="shared" si="6"/>
        <v>72</v>
      </c>
      <c r="N158">
        <v>2</v>
      </c>
      <c r="O158" s="3"/>
      <c r="P158" s="2"/>
      <c r="Q158" s="10">
        <f t="shared" si="7"/>
        <v>72</v>
      </c>
    </row>
    <row r="159" spans="1:17" x14ac:dyDescent="0.45">
      <c r="A159">
        <v>158</v>
      </c>
      <c r="B159" s="3">
        <v>44779</v>
      </c>
      <c r="C159" s="44">
        <f t="shared" si="8"/>
        <v>44779</v>
      </c>
      <c r="D159">
        <v>6464</v>
      </c>
      <c r="E159" t="str">
        <f>VLOOKUP(SalesTable[[#This Row],[Salesperson ID]],Salespeople!$A$2:$B$16,2,0)</f>
        <v>Hamal Azzi</v>
      </c>
      <c r="F159">
        <v>21293</v>
      </c>
      <c r="G159" t="s">
        <v>112</v>
      </c>
      <c r="H159" t="s">
        <v>92</v>
      </c>
      <c r="I159" t="s">
        <v>82</v>
      </c>
      <c r="J159" t="str">
        <f>INDEX(Products!$A$2:$C$14,MATCH(SalesTable[[#This Row],[Product ID]],Products!$C$2:$C$14,0),2)</f>
        <v>Oatmeal hand and body lotion</v>
      </c>
      <c r="K159" s="4">
        <v>12</v>
      </c>
      <c r="L159" s="8">
        <v>6</v>
      </c>
      <c r="M159" s="10">
        <f t="shared" si="6"/>
        <v>72</v>
      </c>
      <c r="N159">
        <v>3</v>
      </c>
      <c r="O159" s="3"/>
      <c r="P159" s="2"/>
      <c r="Q159" s="10">
        <f t="shared" si="7"/>
        <v>72</v>
      </c>
    </row>
    <row r="160" spans="1:17" x14ac:dyDescent="0.45">
      <c r="A160">
        <v>159</v>
      </c>
      <c r="B160" s="3">
        <v>44779</v>
      </c>
      <c r="C160" s="44">
        <f t="shared" si="8"/>
        <v>44779</v>
      </c>
      <c r="D160">
        <v>8064</v>
      </c>
      <c r="E160" t="str">
        <f>VLOOKUP(SalesTable[[#This Row],[Salesperson ID]],Salespeople!$A$2:$B$16,2,0)</f>
        <v>Amal Salazar</v>
      </c>
      <c r="F160">
        <v>16595</v>
      </c>
      <c r="G160" t="s">
        <v>180</v>
      </c>
      <c r="H160" t="s">
        <v>51</v>
      </c>
      <c r="I160" t="s">
        <v>70</v>
      </c>
      <c r="J160" t="str">
        <f>INDEX(Products!$A$2:$C$14,MATCH(SalesTable[[#This Row],[Product ID]],Products!$C$2:$C$14,0),2)</f>
        <v>Strawberry summer soap</v>
      </c>
      <c r="K160" s="4">
        <v>5.95</v>
      </c>
      <c r="L160" s="8">
        <v>10</v>
      </c>
      <c r="M160" s="10">
        <f t="shared" si="6"/>
        <v>59.5</v>
      </c>
      <c r="N160">
        <v>2</v>
      </c>
      <c r="O160" s="3"/>
      <c r="P160" s="2"/>
      <c r="Q160" s="10">
        <f t="shared" si="7"/>
        <v>59.5</v>
      </c>
    </row>
    <row r="161" spans="1:17" x14ac:dyDescent="0.45">
      <c r="A161">
        <v>160</v>
      </c>
      <c r="B161" s="3">
        <v>44779</v>
      </c>
      <c r="C161" s="44">
        <f t="shared" si="8"/>
        <v>44779</v>
      </c>
      <c r="D161">
        <v>6678</v>
      </c>
      <c r="E161" t="str">
        <f>VLOOKUP(SalesTable[[#This Row],[Salesperson ID]],Salespeople!$A$2:$B$16,2,0)</f>
        <v>Amalia Ribeiro</v>
      </c>
      <c r="F161">
        <v>26500</v>
      </c>
      <c r="G161" t="s">
        <v>83</v>
      </c>
      <c r="H161" t="s">
        <v>84</v>
      </c>
      <c r="I161" t="s">
        <v>64</v>
      </c>
      <c r="J161" t="str">
        <f>INDEX(Products!$A$2:$C$14,MATCH(SalesTable[[#This Row],[Product ID]],Products!$C$2:$C$14,0),2)</f>
        <v>Oatmeal soap</v>
      </c>
      <c r="K161" s="4">
        <v>5.95</v>
      </c>
      <c r="L161" s="8">
        <v>8</v>
      </c>
      <c r="M161" s="10">
        <f t="shared" si="6"/>
        <v>47.6</v>
      </c>
      <c r="N161">
        <v>1</v>
      </c>
      <c r="O161" s="3"/>
      <c r="P161" s="2"/>
      <c r="Q161" s="10">
        <f t="shared" si="7"/>
        <v>47.6</v>
      </c>
    </row>
    <row r="162" spans="1:17" x14ac:dyDescent="0.45">
      <c r="A162">
        <v>161</v>
      </c>
      <c r="B162" s="3">
        <v>44779</v>
      </c>
      <c r="C162" s="44">
        <f t="shared" si="8"/>
        <v>44779</v>
      </c>
      <c r="D162">
        <v>6357</v>
      </c>
      <c r="E162" t="str">
        <f>VLOOKUP(SalesTable[[#This Row],[Salesperson ID]],Salespeople!$A$2:$B$16,2,0)</f>
        <v>Johnny Bear</v>
      </c>
      <c r="F162">
        <v>24537</v>
      </c>
      <c r="G162" t="s">
        <v>181</v>
      </c>
      <c r="H162" t="s">
        <v>66</v>
      </c>
      <c r="I162" t="s">
        <v>47</v>
      </c>
      <c r="J162" t="str">
        <f>INDEX(Products!$A$2:$C$14,MATCH(SalesTable[[#This Row],[Product ID]],Products!$C$2:$C$14,0),2)</f>
        <v>Mixed berry jelly</v>
      </c>
      <c r="K162" s="4">
        <v>7.5</v>
      </c>
      <c r="L162" s="8">
        <v>10</v>
      </c>
      <c r="M162" s="10">
        <f t="shared" si="6"/>
        <v>75</v>
      </c>
      <c r="N162">
        <v>2</v>
      </c>
      <c r="O162" s="3"/>
      <c r="P162" s="2"/>
      <c r="Q162" s="10">
        <f t="shared" si="7"/>
        <v>75</v>
      </c>
    </row>
    <row r="163" spans="1:17" x14ac:dyDescent="0.45">
      <c r="A163">
        <v>162</v>
      </c>
      <c r="B163" s="3">
        <v>44780</v>
      </c>
      <c r="C163" s="44">
        <f t="shared" si="8"/>
        <v>44780</v>
      </c>
      <c r="D163">
        <v>6250</v>
      </c>
      <c r="E163" t="str">
        <f>VLOOKUP(SalesTable[[#This Row],[Salesperson ID]],Salespeople!$A$2:$B$16,2,0)</f>
        <v>Hu Lin</v>
      </c>
      <c r="F163">
        <v>23687</v>
      </c>
      <c r="G163" t="s">
        <v>182</v>
      </c>
      <c r="H163" t="s">
        <v>78</v>
      </c>
      <c r="I163" t="s">
        <v>70</v>
      </c>
      <c r="J163" t="str">
        <f>INDEX(Products!$A$2:$C$14,MATCH(SalesTable[[#This Row],[Product ID]],Products!$C$2:$C$14,0),2)</f>
        <v>Strawberry summer soap</v>
      </c>
      <c r="K163" s="4">
        <v>5.95</v>
      </c>
      <c r="L163" s="8">
        <v>9</v>
      </c>
      <c r="M163" s="10">
        <f t="shared" si="6"/>
        <v>53.550000000000004</v>
      </c>
      <c r="N163">
        <v>3</v>
      </c>
      <c r="O163" s="3"/>
      <c r="P163" s="2"/>
      <c r="Q163" s="10">
        <f t="shared" si="7"/>
        <v>53.550000000000004</v>
      </c>
    </row>
    <row r="164" spans="1:17" x14ac:dyDescent="0.45">
      <c r="A164">
        <v>163</v>
      </c>
      <c r="B164" s="3">
        <v>44780</v>
      </c>
      <c r="C164" s="44">
        <f t="shared" si="8"/>
        <v>44780</v>
      </c>
      <c r="D164">
        <v>5418</v>
      </c>
      <c r="E164" t="str">
        <f>VLOOKUP(SalesTable[[#This Row],[Salesperson ID]],Salespeople!$A$2:$B$16,2,0)</f>
        <v>Isabell  Couture</v>
      </c>
      <c r="F164">
        <v>20832</v>
      </c>
      <c r="G164" t="s">
        <v>183</v>
      </c>
      <c r="H164" t="s">
        <v>63</v>
      </c>
      <c r="I164" t="s">
        <v>64</v>
      </c>
      <c r="J164" t="str">
        <f>INDEX(Products!$A$2:$C$14,MATCH(SalesTable[[#This Row],[Product ID]],Products!$C$2:$C$14,0),2)</f>
        <v>Oatmeal soap</v>
      </c>
      <c r="K164" s="4">
        <v>5.95</v>
      </c>
      <c r="L164" s="8">
        <v>5</v>
      </c>
      <c r="M164" s="10">
        <f t="shared" si="6"/>
        <v>29.75</v>
      </c>
      <c r="N164">
        <v>2</v>
      </c>
      <c r="O164" s="3"/>
      <c r="P164" s="2"/>
      <c r="Q164" s="10">
        <f t="shared" si="7"/>
        <v>29.75</v>
      </c>
    </row>
    <row r="165" spans="1:17" x14ac:dyDescent="0.45">
      <c r="A165">
        <v>164</v>
      </c>
      <c r="B165" s="3">
        <v>44781</v>
      </c>
      <c r="C165" s="44">
        <f t="shared" si="8"/>
        <v>44781</v>
      </c>
      <c r="D165">
        <v>6357</v>
      </c>
      <c r="E165" t="str">
        <f>VLOOKUP(SalesTable[[#This Row],[Salesperson ID]],Salespeople!$A$2:$B$16,2,0)</f>
        <v>Johnny Bear</v>
      </c>
      <c r="F165">
        <v>13122</v>
      </c>
      <c r="G165" t="s">
        <v>184</v>
      </c>
      <c r="H165" t="s">
        <v>145</v>
      </c>
      <c r="I165" t="s">
        <v>39</v>
      </c>
      <c r="J165" t="str">
        <f>INDEX(Products!$A$2:$C$14,MATCH(SalesTable[[#This Row],[Product ID]],Products!$C$2:$C$14,0),2)</f>
        <v>Rhubarb-strawberry compote</v>
      </c>
      <c r="K165" s="4">
        <v>8</v>
      </c>
      <c r="L165" s="8">
        <v>3</v>
      </c>
      <c r="M165" s="10">
        <f t="shared" si="6"/>
        <v>24</v>
      </c>
      <c r="N165">
        <v>1</v>
      </c>
      <c r="O165" s="3"/>
      <c r="P165" s="2"/>
      <c r="Q165" s="10">
        <f t="shared" si="7"/>
        <v>24</v>
      </c>
    </row>
    <row r="166" spans="1:17" x14ac:dyDescent="0.45">
      <c r="A166">
        <v>165</v>
      </c>
      <c r="B166" s="3">
        <v>44781</v>
      </c>
      <c r="C166" s="44">
        <f t="shared" si="8"/>
        <v>44781</v>
      </c>
      <c r="D166">
        <v>4350</v>
      </c>
      <c r="E166" t="str">
        <f>VLOOKUP(SalesTable[[#This Row],[Salesperson ID]],Salespeople!$A$2:$B$16,2,0)</f>
        <v>Mukhtar Masih</v>
      </c>
      <c r="F166">
        <v>20912</v>
      </c>
      <c r="G166" t="s">
        <v>140</v>
      </c>
      <c r="H166" t="s">
        <v>88</v>
      </c>
      <c r="I166" t="s">
        <v>57</v>
      </c>
      <c r="J166" t="str">
        <f>INDEX(Products!$A$2:$C$14,MATCH(SalesTable[[#This Row],[Product ID]],Products!$C$2:$C$14,0),2)</f>
        <v>Clover honey</v>
      </c>
      <c r="K166" s="4">
        <v>9</v>
      </c>
      <c r="L166" s="8">
        <v>8</v>
      </c>
      <c r="M166" s="10">
        <f t="shared" si="6"/>
        <v>72</v>
      </c>
      <c r="N166">
        <v>3</v>
      </c>
      <c r="O166" s="3"/>
      <c r="P166" s="2"/>
      <c r="Q166" s="10">
        <f t="shared" si="7"/>
        <v>72</v>
      </c>
    </row>
    <row r="167" spans="1:17" x14ac:dyDescent="0.45">
      <c r="A167">
        <v>166</v>
      </c>
      <c r="B167" s="3">
        <v>44781</v>
      </c>
      <c r="C167" s="44">
        <f t="shared" si="8"/>
        <v>44781</v>
      </c>
      <c r="D167">
        <v>8064</v>
      </c>
      <c r="E167" t="str">
        <f>VLOOKUP(SalesTable[[#This Row],[Salesperson ID]],Salespeople!$A$2:$B$16,2,0)</f>
        <v>Amal Salazar</v>
      </c>
      <c r="F167">
        <v>18345</v>
      </c>
      <c r="G167" t="s">
        <v>185</v>
      </c>
      <c r="H167" t="s">
        <v>35</v>
      </c>
      <c r="I167" t="s">
        <v>47</v>
      </c>
      <c r="J167" t="str">
        <f>INDEX(Products!$A$2:$C$14,MATCH(SalesTable[[#This Row],[Product ID]],Products!$C$2:$C$14,0),2)</f>
        <v>Mixed berry jelly</v>
      </c>
      <c r="K167" s="4">
        <v>7.5</v>
      </c>
      <c r="L167" s="8">
        <v>5</v>
      </c>
      <c r="M167" s="10">
        <f t="shared" si="6"/>
        <v>37.5</v>
      </c>
      <c r="N167">
        <v>0</v>
      </c>
      <c r="O167" s="3"/>
      <c r="P167" s="2"/>
      <c r="Q167" s="10">
        <f t="shared" si="7"/>
        <v>37.5</v>
      </c>
    </row>
    <row r="168" spans="1:17" x14ac:dyDescent="0.45">
      <c r="A168">
        <v>167</v>
      </c>
      <c r="B168" s="3">
        <v>44781</v>
      </c>
      <c r="C168" s="44">
        <f t="shared" si="8"/>
        <v>44781</v>
      </c>
      <c r="D168">
        <v>6464</v>
      </c>
      <c r="E168" t="str">
        <f>VLOOKUP(SalesTable[[#This Row],[Salesperson ID]],Salespeople!$A$2:$B$16,2,0)</f>
        <v>Hamal Azzi</v>
      </c>
      <c r="F168">
        <v>22749</v>
      </c>
      <c r="G168" t="s">
        <v>186</v>
      </c>
      <c r="H168" t="s">
        <v>56</v>
      </c>
      <c r="I168" t="s">
        <v>61</v>
      </c>
      <c r="J168" t="str">
        <f>INDEX(Products!$A$2:$C$14,MATCH(SalesTable[[#This Row],[Product ID]],Products!$C$2:$C$14,0),2)</f>
        <v>Buckwheat honey</v>
      </c>
      <c r="K168" s="4">
        <v>9</v>
      </c>
      <c r="L168" s="8">
        <v>7</v>
      </c>
      <c r="M168" s="10">
        <f t="shared" si="6"/>
        <v>63</v>
      </c>
      <c r="N168">
        <v>0</v>
      </c>
      <c r="O168" s="3"/>
      <c r="P168" s="2"/>
      <c r="Q168" s="10">
        <f t="shared" si="7"/>
        <v>63</v>
      </c>
    </row>
    <row r="169" spans="1:17" x14ac:dyDescent="0.45">
      <c r="A169">
        <v>168</v>
      </c>
      <c r="B169" s="3">
        <v>44781</v>
      </c>
      <c r="C169" s="44">
        <f t="shared" si="8"/>
        <v>44781</v>
      </c>
      <c r="D169">
        <v>8064</v>
      </c>
      <c r="E169" t="str">
        <f>VLOOKUP(SalesTable[[#This Row],[Salesperson ID]],Salespeople!$A$2:$B$16,2,0)</f>
        <v>Amal Salazar</v>
      </c>
      <c r="F169">
        <v>20051</v>
      </c>
      <c r="G169" t="s">
        <v>91</v>
      </c>
      <c r="H169" t="s">
        <v>92</v>
      </c>
      <c r="I169" t="s">
        <v>70</v>
      </c>
      <c r="J169" t="str">
        <f>INDEX(Products!$A$2:$C$14,MATCH(SalesTable[[#This Row],[Product ID]],Products!$C$2:$C$14,0),2)</f>
        <v>Strawberry summer soap</v>
      </c>
      <c r="K169" s="4">
        <v>5.95</v>
      </c>
      <c r="L169" s="8">
        <v>4</v>
      </c>
      <c r="M169" s="10">
        <f t="shared" si="6"/>
        <v>23.8</v>
      </c>
      <c r="N169">
        <v>0</v>
      </c>
      <c r="O169" s="3"/>
      <c r="P169" s="2"/>
      <c r="Q169" s="10">
        <f t="shared" si="7"/>
        <v>23.8</v>
      </c>
    </row>
    <row r="170" spans="1:17" x14ac:dyDescent="0.45">
      <c r="A170">
        <v>169</v>
      </c>
      <c r="B170" s="3">
        <v>44782</v>
      </c>
      <c r="C170" s="44">
        <f t="shared" si="8"/>
        <v>44782</v>
      </c>
      <c r="D170">
        <v>6678</v>
      </c>
      <c r="E170" t="str">
        <f>VLOOKUP(SalesTable[[#This Row],[Salesperson ID]],Salespeople!$A$2:$B$16,2,0)</f>
        <v>Amalia Ribeiro</v>
      </c>
      <c r="F170">
        <v>26018</v>
      </c>
      <c r="G170" t="s">
        <v>187</v>
      </c>
      <c r="H170" t="s">
        <v>63</v>
      </c>
      <c r="I170" t="s">
        <v>99</v>
      </c>
      <c r="J170" t="str">
        <f>INDEX(Products!$A$2:$C$14,MATCH(SalesTable[[#This Row],[Product ID]],Products!$C$2:$C$14,0),2)</f>
        <v>Goat milk hand and body lotion</v>
      </c>
      <c r="K170" s="4">
        <v>12</v>
      </c>
      <c r="L170" s="8">
        <v>8</v>
      </c>
      <c r="M170" s="10">
        <f t="shared" si="6"/>
        <v>96</v>
      </c>
      <c r="N170">
        <v>3</v>
      </c>
      <c r="O170" s="3"/>
      <c r="P170" s="2"/>
      <c r="Q170" s="10">
        <f t="shared" si="7"/>
        <v>96</v>
      </c>
    </row>
    <row r="171" spans="1:17" x14ac:dyDescent="0.45">
      <c r="A171">
        <v>170</v>
      </c>
      <c r="B171" s="3">
        <v>44782</v>
      </c>
      <c r="C171" s="44">
        <f t="shared" si="8"/>
        <v>44782</v>
      </c>
      <c r="D171">
        <v>6892</v>
      </c>
      <c r="E171" t="str">
        <f>VLOOKUP(SalesTable[[#This Row],[Salesperson ID]],Salespeople!$A$2:$B$16,2,0)</f>
        <v>Fahd Sleiman</v>
      </c>
      <c r="F171">
        <v>25764</v>
      </c>
      <c r="G171" t="s">
        <v>139</v>
      </c>
      <c r="H171" t="s">
        <v>84</v>
      </c>
      <c r="I171" t="s">
        <v>64</v>
      </c>
      <c r="J171" t="str">
        <f>INDEX(Products!$A$2:$C$14,MATCH(SalesTable[[#This Row],[Product ID]],Products!$C$2:$C$14,0),2)</f>
        <v>Oatmeal soap</v>
      </c>
      <c r="K171" s="4">
        <v>5.95</v>
      </c>
      <c r="L171" s="8">
        <v>2</v>
      </c>
      <c r="M171" s="10">
        <f t="shared" si="6"/>
        <v>11.9</v>
      </c>
      <c r="N171">
        <v>3</v>
      </c>
      <c r="O171" s="3"/>
      <c r="P171" s="2"/>
      <c r="Q171" s="10">
        <f t="shared" si="7"/>
        <v>11.9</v>
      </c>
    </row>
    <row r="172" spans="1:17" x14ac:dyDescent="0.45">
      <c r="A172">
        <v>171</v>
      </c>
      <c r="B172" s="3">
        <v>44782</v>
      </c>
      <c r="C172" s="44">
        <f t="shared" si="8"/>
        <v>44782</v>
      </c>
      <c r="D172">
        <v>8064</v>
      </c>
      <c r="E172" t="str">
        <f>VLOOKUP(SalesTable[[#This Row],[Salesperson ID]],Salespeople!$A$2:$B$16,2,0)</f>
        <v>Amal Salazar</v>
      </c>
      <c r="F172">
        <v>18982</v>
      </c>
      <c r="G172" t="s">
        <v>134</v>
      </c>
      <c r="H172" t="s">
        <v>98</v>
      </c>
      <c r="I172" t="s">
        <v>68</v>
      </c>
      <c r="J172" t="str">
        <f>INDEX(Products!$A$2:$C$14,MATCH(SalesTable[[#This Row],[Product ID]],Products!$C$2:$C$14,0),2)</f>
        <v>Mixed berry jam</v>
      </c>
      <c r="K172" s="4">
        <v>7.5</v>
      </c>
      <c r="L172" s="8">
        <v>1</v>
      </c>
      <c r="M172" s="10">
        <f t="shared" si="6"/>
        <v>7.5</v>
      </c>
      <c r="N172">
        <v>0</v>
      </c>
      <c r="O172" s="3"/>
      <c r="P172" s="2"/>
      <c r="Q172" s="10">
        <f t="shared" si="7"/>
        <v>7.5</v>
      </c>
    </row>
    <row r="173" spans="1:17" x14ac:dyDescent="0.45">
      <c r="A173">
        <v>172</v>
      </c>
      <c r="B173" s="3">
        <v>44783</v>
      </c>
      <c r="C173" s="44">
        <f t="shared" si="8"/>
        <v>44783</v>
      </c>
      <c r="D173">
        <v>5400</v>
      </c>
      <c r="E173" t="str">
        <f>VLOOKUP(SalesTable[[#This Row],[Salesperson ID]],Salespeople!$A$2:$B$16,2,0)</f>
        <v>Maisha Karzai</v>
      </c>
      <c r="F173">
        <v>25511</v>
      </c>
      <c r="G173" t="s">
        <v>141</v>
      </c>
      <c r="H173" t="s">
        <v>43</v>
      </c>
      <c r="I173" t="s">
        <v>57</v>
      </c>
      <c r="J173" t="str">
        <f>INDEX(Products!$A$2:$C$14,MATCH(SalesTable[[#This Row],[Product ID]],Products!$C$2:$C$14,0),2)</f>
        <v>Clover honey</v>
      </c>
      <c r="K173" s="4">
        <v>9</v>
      </c>
      <c r="L173" s="8">
        <v>1</v>
      </c>
      <c r="M173" s="10">
        <f t="shared" si="6"/>
        <v>9</v>
      </c>
      <c r="N173">
        <v>3</v>
      </c>
      <c r="O173" s="3"/>
      <c r="P173" s="2"/>
      <c r="Q173" s="10">
        <f t="shared" si="7"/>
        <v>9</v>
      </c>
    </row>
    <row r="174" spans="1:17" x14ac:dyDescent="0.45">
      <c r="A174">
        <v>173</v>
      </c>
      <c r="B174" s="3">
        <v>44785</v>
      </c>
      <c r="C174" s="44">
        <f t="shared" si="8"/>
        <v>44785</v>
      </c>
      <c r="D174">
        <v>8064</v>
      </c>
      <c r="E174" t="str">
        <f>VLOOKUP(SalesTable[[#This Row],[Salesperson ID]],Salespeople!$A$2:$B$16,2,0)</f>
        <v>Amal Salazar</v>
      </c>
      <c r="F174">
        <v>24735</v>
      </c>
      <c r="G174" t="s">
        <v>188</v>
      </c>
      <c r="H174" t="s">
        <v>54</v>
      </c>
      <c r="I174" t="s">
        <v>70</v>
      </c>
      <c r="J174" t="str">
        <f>INDEX(Products!$A$2:$C$14,MATCH(SalesTable[[#This Row],[Product ID]],Products!$C$2:$C$14,0),2)</f>
        <v>Strawberry summer soap</v>
      </c>
      <c r="K174" s="4">
        <v>5.95</v>
      </c>
      <c r="L174" s="8">
        <v>3</v>
      </c>
      <c r="M174" s="10">
        <f t="shared" si="6"/>
        <v>17.850000000000001</v>
      </c>
      <c r="N174">
        <v>3</v>
      </c>
      <c r="O174" s="3"/>
      <c r="P174" s="2"/>
      <c r="Q174" s="10">
        <f t="shared" si="7"/>
        <v>17.850000000000001</v>
      </c>
    </row>
    <row r="175" spans="1:17" x14ac:dyDescent="0.45">
      <c r="A175">
        <v>174</v>
      </c>
      <c r="B175" s="3">
        <v>44785</v>
      </c>
      <c r="C175" s="44">
        <f t="shared" si="8"/>
        <v>44785</v>
      </c>
      <c r="D175">
        <v>8064</v>
      </c>
      <c r="E175" t="str">
        <f>VLOOKUP(SalesTable[[#This Row],[Salesperson ID]],Salespeople!$A$2:$B$16,2,0)</f>
        <v>Amal Salazar</v>
      </c>
      <c r="F175">
        <v>23450</v>
      </c>
      <c r="G175" t="s">
        <v>72</v>
      </c>
      <c r="H175" t="s">
        <v>51</v>
      </c>
      <c r="I175" t="s">
        <v>57</v>
      </c>
      <c r="J175" t="str">
        <f>INDEX(Products!$A$2:$C$14,MATCH(SalesTable[[#This Row],[Product ID]],Products!$C$2:$C$14,0),2)</f>
        <v>Clover honey</v>
      </c>
      <c r="K175" s="4">
        <v>9</v>
      </c>
      <c r="L175" s="8">
        <v>5</v>
      </c>
      <c r="M175" s="10">
        <f t="shared" si="6"/>
        <v>45</v>
      </c>
      <c r="N175">
        <v>3</v>
      </c>
      <c r="O175" s="3"/>
      <c r="P175" s="2"/>
      <c r="Q175" s="10">
        <f t="shared" si="7"/>
        <v>45</v>
      </c>
    </row>
    <row r="176" spans="1:17" x14ac:dyDescent="0.45">
      <c r="A176">
        <v>175</v>
      </c>
      <c r="B176" s="3">
        <v>44785</v>
      </c>
      <c r="C176" s="44">
        <f t="shared" si="8"/>
        <v>44785</v>
      </c>
      <c r="D176">
        <v>6678</v>
      </c>
      <c r="E176" t="str">
        <f>VLOOKUP(SalesTable[[#This Row],[Salesperson ID]],Salespeople!$A$2:$B$16,2,0)</f>
        <v>Amalia Ribeiro</v>
      </c>
      <c r="F176">
        <v>12856</v>
      </c>
      <c r="G176" t="s">
        <v>189</v>
      </c>
      <c r="H176" t="s">
        <v>35</v>
      </c>
      <c r="I176" t="s">
        <v>70</v>
      </c>
      <c r="J176" t="str">
        <f>INDEX(Products!$A$2:$C$14,MATCH(SalesTable[[#This Row],[Product ID]],Products!$C$2:$C$14,0),2)</f>
        <v>Strawberry summer soap</v>
      </c>
      <c r="K176" s="4">
        <v>5.95</v>
      </c>
      <c r="L176" s="8">
        <v>7</v>
      </c>
      <c r="M176" s="10">
        <f t="shared" si="6"/>
        <v>41.65</v>
      </c>
      <c r="N176">
        <v>2</v>
      </c>
      <c r="O176" s="3"/>
      <c r="P176" s="2"/>
      <c r="Q176" s="10">
        <f t="shared" si="7"/>
        <v>41.65</v>
      </c>
    </row>
    <row r="177" spans="1:17" x14ac:dyDescent="0.45">
      <c r="A177">
        <v>176</v>
      </c>
      <c r="B177" s="3">
        <v>44788</v>
      </c>
      <c r="C177" s="44">
        <f t="shared" si="8"/>
        <v>44788</v>
      </c>
      <c r="D177">
        <v>6571</v>
      </c>
      <c r="E177" t="str">
        <f>VLOOKUP(SalesTable[[#This Row],[Salesperson ID]],Salespeople!$A$2:$B$16,2,0)</f>
        <v>Iker Dominguez</v>
      </c>
      <c r="F177">
        <v>15616</v>
      </c>
      <c r="G177" t="s">
        <v>190</v>
      </c>
      <c r="H177" t="s">
        <v>63</v>
      </c>
      <c r="I177" t="s">
        <v>47</v>
      </c>
      <c r="J177" t="str">
        <f>INDEX(Products!$A$2:$C$14,MATCH(SalesTable[[#This Row],[Product ID]],Products!$C$2:$C$14,0),2)</f>
        <v>Mixed berry jelly</v>
      </c>
      <c r="K177" s="4">
        <v>7.5</v>
      </c>
      <c r="L177" s="8">
        <v>10</v>
      </c>
      <c r="M177" s="10">
        <f t="shared" si="6"/>
        <v>75</v>
      </c>
      <c r="N177">
        <v>3</v>
      </c>
      <c r="O177" s="3"/>
      <c r="P177" s="2"/>
      <c r="Q177" s="10">
        <f t="shared" si="7"/>
        <v>75</v>
      </c>
    </row>
    <row r="178" spans="1:17" x14ac:dyDescent="0.45">
      <c r="A178">
        <v>177</v>
      </c>
      <c r="B178" s="3">
        <v>44788</v>
      </c>
      <c r="C178" s="44">
        <f t="shared" si="8"/>
        <v>44788</v>
      </c>
      <c r="D178">
        <v>8064</v>
      </c>
      <c r="E178" t="str">
        <f>VLOOKUP(SalesTable[[#This Row],[Salesperson ID]],Salespeople!$A$2:$B$16,2,0)</f>
        <v>Amal Salazar</v>
      </c>
      <c r="F178">
        <v>28317</v>
      </c>
      <c r="G178" t="s">
        <v>168</v>
      </c>
      <c r="H178" t="s">
        <v>51</v>
      </c>
      <c r="I178" t="s">
        <v>59</v>
      </c>
      <c r="J178" t="str">
        <f>INDEX(Products!$A$2:$C$14,MATCH(SalesTable[[#This Row],[Product ID]],Products!$C$2:$C$14,0),2)</f>
        <v>Wildflower honey</v>
      </c>
      <c r="K178" s="4">
        <v>9</v>
      </c>
      <c r="L178" s="8">
        <v>3</v>
      </c>
      <c r="M178" s="10">
        <f t="shared" si="6"/>
        <v>27</v>
      </c>
      <c r="N178">
        <v>3</v>
      </c>
      <c r="O178" s="3"/>
      <c r="P178" s="2"/>
      <c r="Q178" s="10">
        <f t="shared" si="7"/>
        <v>27</v>
      </c>
    </row>
    <row r="179" spans="1:17" x14ac:dyDescent="0.45">
      <c r="A179">
        <v>178</v>
      </c>
      <c r="B179" s="3">
        <v>44788</v>
      </c>
      <c r="C179" s="44">
        <f t="shared" si="8"/>
        <v>44788</v>
      </c>
      <c r="D179">
        <v>5382</v>
      </c>
      <c r="E179" t="str">
        <f>VLOOKUP(SalesTable[[#This Row],[Salesperson ID]],Salespeople!$A$2:$B$16,2,0)</f>
        <v>Diya Nueimat</v>
      </c>
      <c r="F179">
        <v>23133</v>
      </c>
      <c r="G179" t="s">
        <v>191</v>
      </c>
      <c r="H179" t="s">
        <v>41</v>
      </c>
      <c r="I179" t="s">
        <v>52</v>
      </c>
      <c r="J179" t="str">
        <f>INDEX(Products!$A$2:$C$14,MATCH(SalesTable[[#This Row],[Product ID]],Products!$C$2:$C$14,0),2)</f>
        <v>Strawberry jam</v>
      </c>
      <c r="K179" s="4">
        <v>7.5</v>
      </c>
      <c r="L179" s="8">
        <v>4</v>
      </c>
      <c r="M179" s="10">
        <f t="shared" si="6"/>
        <v>30</v>
      </c>
      <c r="N179">
        <v>3</v>
      </c>
      <c r="O179" s="3"/>
      <c r="P179" s="2"/>
      <c r="Q179" s="10">
        <f t="shared" si="7"/>
        <v>30</v>
      </c>
    </row>
    <row r="180" spans="1:17" x14ac:dyDescent="0.45">
      <c r="A180">
        <v>179</v>
      </c>
      <c r="B180" s="3">
        <v>44789</v>
      </c>
      <c r="C180" s="44">
        <f t="shared" si="8"/>
        <v>44789</v>
      </c>
      <c r="D180">
        <v>6143</v>
      </c>
      <c r="E180" t="str">
        <f>VLOOKUP(SalesTable[[#This Row],[Salesperson ID]],Salespeople!$A$2:$B$16,2,0)</f>
        <v>Liane Cormier</v>
      </c>
      <c r="F180">
        <v>22645</v>
      </c>
      <c r="G180" t="s">
        <v>111</v>
      </c>
      <c r="H180" t="s">
        <v>41</v>
      </c>
      <c r="I180" t="s">
        <v>68</v>
      </c>
      <c r="J180" t="str">
        <f>INDEX(Products!$A$2:$C$14,MATCH(SalesTable[[#This Row],[Product ID]],Products!$C$2:$C$14,0),2)</f>
        <v>Mixed berry jam</v>
      </c>
      <c r="K180" s="4">
        <v>7.5</v>
      </c>
      <c r="L180" s="8">
        <v>9</v>
      </c>
      <c r="M180" s="10">
        <f t="shared" si="6"/>
        <v>67.5</v>
      </c>
      <c r="N180">
        <v>0</v>
      </c>
      <c r="O180" s="3"/>
      <c r="P180" s="2"/>
      <c r="Q180" s="10">
        <f t="shared" si="7"/>
        <v>67.5</v>
      </c>
    </row>
    <row r="181" spans="1:17" x14ac:dyDescent="0.45">
      <c r="A181">
        <v>180</v>
      </c>
      <c r="B181" s="3">
        <v>44789</v>
      </c>
      <c r="C181" s="44">
        <f t="shared" si="8"/>
        <v>44789</v>
      </c>
      <c r="D181">
        <v>6678</v>
      </c>
      <c r="E181" t="str">
        <f>VLOOKUP(SalesTable[[#This Row],[Salesperson ID]],Salespeople!$A$2:$B$16,2,0)</f>
        <v>Amalia Ribeiro</v>
      </c>
      <c r="F181">
        <v>22883</v>
      </c>
      <c r="G181" t="s">
        <v>192</v>
      </c>
      <c r="H181" t="s">
        <v>66</v>
      </c>
      <c r="I181" t="s">
        <v>99</v>
      </c>
      <c r="J181" t="str">
        <f>INDEX(Products!$A$2:$C$14,MATCH(SalesTable[[#This Row],[Product ID]],Products!$C$2:$C$14,0),2)</f>
        <v>Goat milk hand and body lotion</v>
      </c>
      <c r="K181" s="4">
        <v>12</v>
      </c>
      <c r="L181" s="8">
        <v>9</v>
      </c>
      <c r="M181" s="10">
        <f t="shared" si="6"/>
        <v>108</v>
      </c>
      <c r="N181">
        <v>0</v>
      </c>
      <c r="O181" s="3"/>
      <c r="P181" s="2"/>
      <c r="Q181" s="10">
        <f t="shared" si="7"/>
        <v>108</v>
      </c>
    </row>
    <row r="182" spans="1:17" x14ac:dyDescent="0.45">
      <c r="A182">
        <v>181</v>
      </c>
      <c r="B182" s="3">
        <v>44790</v>
      </c>
      <c r="C182" s="44">
        <f t="shared" si="8"/>
        <v>44790</v>
      </c>
      <c r="D182">
        <v>5400</v>
      </c>
      <c r="E182" t="str">
        <f>VLOOKUP(SalesTable[[#This Row],[Salesperson ID]],Salespeople!$A$2:$B$16,2,0)</f>
        <v>Maisha Karzai</v>
      </c>
      <c r="F182">
        <v>17696</v>
      </c>
      <c r="G182" t="s">
        <v>176</v>
      </c>
      <c r="H182" t="s">
        <v>49</v>
      </c>
      <c r="I182" t="s">
        <v>52</v>
      </c>
      <c r="J182" t="str">
        <f>INDEX(Products!$A$2:$C$14,MATCH(SalesTable[[#This Row],[Product ID]],Products!$C$2:$C$14,0),2)</f>
        <v>Strawberry jam</v>
      </c>
      <c r="K182" s="4">
        <v>7.5</v>
      </c>
      <c r="L182" s="8">
        <v>10</v>
      </c>
      <c r="M182" s="10">
        <f t="shared" si="6"/>
        <v>75</v>
      </c>
      <c r="N182">
        <v>1</v>
      </c>
      <c r="O182" s="3"/>
      <c r="P182" s="2"/>
      <c r="Q182" s="10">
        <f t="shared" si="7"/>
        <v>75</v>
      </c>
    </row>
    <row r="183" spans="1:17" x14ac:dyDescent="0.45">
      <c r="A183">
        <v>182</v>
      </c>
      <c r="B183" s="3">
        <v>44790</v>
      </c>
      <c r="C183" s="44">
        <f t="shared" si="8"/>
        <v>44790</v>
      </c>
      <c r="D183">
        <v>6357</v>
      </c>
      <c r="E183" t="str">
        <f>VLOOKUP(SalesTable[[#This Row],[Salesperson ID]],Salespeople!$A$2:$B$16,2,0)</f>
        <v>Johnny Bear</v>
      </c>
      <c r="F183">
        <v>18962</v>
      </c>
      <c r="G183" t="s">
        <v>169</v>
      </c>
      <c r="H183" t="s">
        <v>51</v>
      </c>
      <c r="I183" t="s">
        <v>68</v>
      </c>
      <c r="J183" t="str">
        <f>INDEX(Products!$A$2:$C$14,MATCH(SalesTable[[#This Row],[Product ID]],Products!$C$2:$C$14,0),2)</f>
        <v>Mixed berry jam</v>
      </c>
      <c r="K183" s="4">
        <v>7.5</v>
      </c>
      <c r="L183" s="8">
        <v>1</v>
      </c>
      <c r="M183" s="10">
        <f t="shared" si="6"/>
        <v>7.5</v>
      </c>
      <c r="N183">
        <v>2</v>
      </c>
      <c r="O183" s="3"/>
      <c r="P183" s="2"/>
      <c r="Q183" s="10">
        <f t="shared" si="7"/>
        <v>7.5</v>
      </c>
    </row>
    <row r="184" spans="1:17" x14ac:dyDescent="0.45">
      <c r="A184">
        <v>183</v>
      </c>
      <c r="B184" s="3">
        <v>44790</v>
      </c>
      <c r="C184" s="44">
        <f t="shared" si="8"/>
        <v>44790</v>
      </c>
      <c r="D184">
        <v>5400</v>
      </c>
      <c r="E184" t="str">
        <f>VLOOKUP(SalesTable[[#This Row],[Salesperson ID]],Salespeople!$A$2:$B$16,2,0)</f>
        <v>Maisha Karzai</v>
      </c>
      <c r="F184">
        <v>23448</v>
      </c>
      <c r="G184" t="s">
        <v>193</v>
      </c>
      <c r="H184" t="s">
        <v>56</v>
      </c>
      <c r="I184" t="s">
        <v>47</v>
      </c>
      <c r="J184" t="str">
        <f>INDEX(Products!$A$2:$C$14,MATCH(SalesTable[[#This Row],[Product ID]],Products!$C$2:$C$14,0),2)</f>
        <v>Mixed berry jelly</v>
      </c>
      <c r="K184" s="4">
        <v>7.5</v>
      </c>
      <c r="L184" s="8">
        <v>10</v>
      </c>
      <c r="M184" s="10">
        <f t="shared" si="6"/>
        <v>75</v>
      </c>
      <c r="N184">
        <v>2</v>
      </c>
      <c r="O184" s="3"/>
      <c r="P184" s="2"/>
      <c r="Q184" s="10">
        <f t="shared" si="7"/>
        <v>75</v>
      </c>
    </row>
    <row r="185" spans="1:17" x14ac:dyDescent="0.45">
      <c r="A185">
        <v>184</v>
      </c>
      <c r="B185" s="3">
        <v>44791</v>
      </c>
      <c r="C185" s="44">
        <f t="shared" si="8"/>
        <v>44791</v>
      </c>
      <c r="D185">
        <v>6250</v>
      </c>
      <c r="E185" t="str">
        <f>VLOOKUP(SalesTable[[#This Row],[Salesperson ID]],Salespeople!$A$2:$B$16,2,0)</f>
        <v>Hu Lin</v>
      </c>
      <c r="F185">
        <v>26510</v>
      </c>
      <c r="G185" t="s">
        <v>194</v>
      </c>
      <c r="H185" t="s">
        <v>56</v>
      </c>
      <c r="I185" t="s">
        <v>61</v>
      </c>
      <c r="J185" t="str">
        <f>INDEX(Products!$A$2:$C$14,MATCH(SalesTable[[#This Row],[Product ID]],Products!$C$2:$C$14,0),2)</f>
        <v>Buckwheat honey</v>
      </c>
      <c r="K185" s="4">
        <v>9</v>
      </c>
      <c r="L185" s="8">
        <v>9</v>
      </c>
      <c r="M185" s="10">
        <f t="shared" si="6"/>
        <v>81</v>
      </c>
      <c r="N185">
        <v>0</v>
      </c>
      <c r="O185" s="3"/>
      <c r="P185" s="2"/>
      <c r="Q185" s="10">
        <f t="shared" si="7"/>
        <v>81</v>
      </c>
    </row>
    <row r="186" spans="1:17" x14ac:dyDescent="0.45">
      <c r="A186">
        <v>185</v>
      </c>
      <c r="B186" s="3">
        <v>44791</v>
      </c>
      <c r="C186" s="44">
        <f t="shared" si="8"/>
        <v>44791</v>
      </c>
      <c r="D186">
        <v>6892</v>
      </c>
      <c r="E186" t="str">
        <f>VLOOKUP(SalesTable[[#This Row],[Salesperson ID]],Salespeople!$A$2:$B$16,2,0)</f>
        <v>Fahd Sleiman</v>
      </c>
      <c r="F186">
        <v>17067</v>
      </c>
      <c r="G186" t="s">
        <v>124</v>
      </c>
      <c r="H186" t="s">
        <v>54</v>
      </c>
      <c r="I186" t="s">
        <v>59</v>
      </c>
      <c r="J186" t="str">
        <f>INDEX(Products!$A$2:$C$14,MATCH(SalesTable[[#This Row],[Product ID]],Products!$C$2:$C$14,0),2)</f>
        <v>Wildflower honey</v>
      </c>
      <c r="K186" s="4">
        <v>9</v>
      </c>
      <c r="L186" s="8">
        <v>2</v>
      </c>
      <c r="M186" s="10">
        <f t="shared" si="6"/>
        <v>18</v>
      </c>
      <c r="N186">
        <v>3</v>
      </c>
      <c r="O186" s="3"/>
      <c r="P186" s="2"/>
      <c r="Q186" s="10">
        <f t="shared" si="7"/>
        <v>18</v>
      </c>
    </row>
    <row r="187" spans="1:17" x14ac:dyDescent="0.45">
      <c r="A187">
        <v>186</v>
      </c>
      <c r="B187" s="3">
        <v>44792</v>
      </c>
      <c r="C187" s="44">
        <f t="shared" si="8"/>
        <v>44792</v>
      </c>
      <c r="D187">
        <v>6464</v>
      </c>
      <c r="E187" t="str">
        <f>VLOOKUP(SalesTable[[#This Row],[Salesperson ID]],Salespeople!$A$2:$B$16,2,0)</f>
        <v>Hamal Azzi</v>
      </c>
      <c r="F187">
        <v>23607</v>
      </c>
      <c r="G187" t="s">
        <v>195</v>
      </c>
      <c r="H187" t="s">
        <v>46</v>
      </c>
      <c r="I187" t="s">
        <v>44</v>
      </c>
      <c r="J187" t="str">
        <f>INDEX(Products!$A$2:$C$14,MATCH(SalesTable[[#This Row],[Product ID]],Products!$C$2:$C$14,0),2)</f>
        <v>Goat milk and honey cream</v>
      </c>
      <c r="K187" s="4">
        <v>12</v>
      </c>
      <c r="L187" s="8">
        <v>8</v>
      </c>
      <c r="M187" s="10">
        <f t="shared" si="6"/>
        <v>96</v>
      </c>
      <c r="N187">
        <v>2</v>
      </c>
      <c r="O187" s="3"/>
      <c r="P187" s="2"/>
      <c r="Q187" s="10">
        <f t="shared" si="7"/>
        <v>96</v>
      </c>
    </row>
    <row r="188" spans="1:17" x14ac:dyDescent="0.45">
      <c r="A188">
        <v>187</v>
      </c>
      <c r="B188" s="3">
        <v>44792</v>
      </c>
      <c r="C188" s="44">
        <f t="shared" si="8"/>
        <v>44792</v>
      </c>
      <c r="D188">
        <v>6357</v>
      </c>
      <c r="E188" t="str">
        <f>VLOOKUP(SalesTable[[#This Row],[Salesperson ID]],Salespeople!$A$2:$B$16,2,0)</f>
        <v>Johnny Bear</v>
      </c>
      <c r="F188">
        <v>17038</v>
      </c>
      <c r="G188" t="s">
        <v>94</v>
      </c>
      <c r="H188" t="s">
        <v>88</v>
      </c>
      <c r="I188" t="s">
        <v>99</v>
      </c>
      <c r="J188" t="str">
        <f>INDEX(Products!$A$2:$C$14,MATCH(SalesTable[[#This Row],[Product ID]],Products!$C$2:$C$14,0),2)</f>
        <v>Goat milk hand and body lotion</v>
      </c>
      <c r="K188" s="4">
        <v>12</v>
      </c>
      <c r="L188" s="8">
        <v>10</v>
      </c>
      <c r="M188" s="10">
        <f t="shared" si="6"/>
        <v>120</v>
      </c>
      <c r="N188">
        <v>1</v>
      </c>
      <c r="O188" s="3"/>
      <c r="P188" s="2"/>
      <c r="Q188" s="10">
        <f t="shared" si="7"/>
        <v>120</v>
      </c>
    </row>
    <row r="189" spans="1:17" x14ac:dyDescent="0.45">
      <c r="A189">
        <v>188</v>
      </c>
      <c r="B189" s="3">
        <v>44792</v>
      </c>
      <c r="C189" s="44">
        <f t="shared" si="8"/>
        <v>44792</v>
      </c>
      <c r="D189">
        <v>6464</v>
      </c>
      <c r="E189" t="str">
        <f>VLOOKUP(SalesTable[[#This Row],[Salesperson ID]],Salespeople!$A$2:$B$16,2,0)</f>
        <v>Hamal Azzi</v>
      </c>
      <c r="F189">
        <v>10828</v>
      </c>
      <c r="G189" t="s">
        <v>156</v>
      </c>
      <c r="H189" t="s">
        <v>49</v>
      </c>
      <c r="I189" t="s">
        <v>47</v>
      </c>
      <c r="J189" t="str">
        <f>INDEX(Products!$A$2:$C$14,MATCH(SalesTable[[#This Row],[Product ID]],Products!$C$2:$C$14,0),2)</f>
        <v>Mixed berry jelly</v>
      </c>
      <c r="K189" s="4">
        <v>7.5</v>
      </c>
      <c r="L189" s="8">
        <v>1</v>
      </c>
      <c r="M189" s="10">
        <f t="shared" si="6"/>
        <v>7.5</v>
      </c>
      <c r="N189">
        <v>1</v>
      </c>
      <c r="O189" s="3"/>
      <c r="P189" s="2"/>
      <c r="Q189" s="10">
        <f t="shared" si="7"/>
        <v>7.5</v>
      </c>
    </row>
    <row r="190" spans="1:17" x14ac:dyDescent="0.45">
      <c r="A190">
        <v>189</v>
      </c>
      <c r="B190" s="3">
        <v>44792</v>
      </c>
      <c r="C190" s="44">
        <f t="shared" si="8"/>
        <v>44792</v>
      </c>
      <c r="D190">
        <v>4350</v>
      </c>
      <c r="E190" t="str">
        <f>VLOOKUP(SalesTable[[#This Row],[Salesperson ID]],Salespeople!$A$2:$B$16,2,0)</f>
        <v>Mukhtar Masih</v>
      </c>
      <c r="F190">
        <v>25329</v>
      </c>
      <c r="G190" t="s">
        <v>167</v>
      </c>
      <c r="H190" t="s">
        <v>92</v>
      </c>
      <c r="I190" t="s">
        <v>99</v>
      </c>
      <c r="J190" t="str">
        <f>INDEX(Products!$A$2:$C$14,MATCH(SalesTable[[#This Row],[Product ID]],Products!$C$2:$C$14,0),2)</f>
        <v>Goat milk hand and body lotion</v>
      </c>
      <c r="K190" s="4">
        <v>12</v>
      </c>
      <c r="L190" s="8">
        <v>4</v>
      </c>
      <c r="M190" s="10">
        <f t="shared" si="6"/>
        <v>48</v>
      </c>
      <c r="N190">
        <v>2</v>
      </c>
      <c r="O190" s="3"/>
      <c r="P190" s="2"/>
      <c r="Q190" s="10">
        <f t="shared" si="7"/>
        <v>48</v>
      </c>
    </row>
    <row r="191" spans="1:17" x14ac:dyDescent="0.45">
      <c r="A191">
        <v>190</v>
      </c>
      <c r="B191" s="3">
        <v>44792</v>
      </c>
      <c r="C191" s="44">
        <f t="shared" si="8"/>
        <v>44792</v>
      </c>
      <c r="D191">
        <v>6892</v>
      </c>
      <c r="E191" t="str">
        <f>VLOOKUP(SalesTable[[#This Row],[Salesperson ID]],Salespeople!$A$2:$B$16,2,0)</f>
        <v>Fahd Sleiman</v>
      </c>
      <c r="F191">
        <v>23361</v>
      </c>
      <c r="G191" t="s">
        <v>196</v>
      </c>
      <c r="H191" t="s">
        <v>41</v>
      </c>
      <c r="I191" t="s">
        <v>64</v>
      </c>
      <c r="J191" t="str">
        <f>INDEX(Products!$A$2:$C$14,MATCH(SalesTable[[#This Row],[Product ID]],Products!$C$2:$C$14,0),2)</f>
        <v>Oatmeal soap</v>
      </c>
      <c r="K191" s="4">
        <v>5.95</v>
      </c>
      <c r="L191" s="8">
        <v>4</v>
      </c>
      <c r="M191" s="10">
        <f t="shared" si="6"/>
        <v>23.8</v>
      </c>
      <c r="N191">
        <v>0</v>
      </c>
      <c r="O191" s="3"/>
      <c r="P191" s="2"/>
      <c r="Q191" s="10">
        <f t="shared" si="7"/>
        <v>23.8</v>
      </c>
    </row>
    <row r="192" spans="1:17" x14ac:dyDescent="0.45">
      <c r="A192">
        <v>191</v>
      </c>
      <c r="B192" s="3">
        <v>44793</v>
      </c>
      <c r="C192" s="44">
        <f t="shared" si="8"/>
        <v>44793</v>
      </c>
      <c r="D192">
        <v>6464</v>
      </c>
      <c r="E192" t="str">
        <f>VLOOKUP(SalesTable[[#This Row],[Salesperson ID]],Salespeople!$A$2:$B$16,2,0)</f>
        <v>Hamal Azzi</v>
      </c>
      <c r="F192">
        <v>10793</v>
      </c>
      <c r="G192" t="s">
        <v>166</v>
      </c>
      <c r="H192" t="s">
        <v>63</v>
      </c>
      <c r="I192" t="s">
        <v>36</v>
      </c>
      <c r="J192" t="str">
        <f>INDEX(Products!$A$2:$C$14,MATCH(SalesTable[[#This Row],[Product ID]],Products!$C$2:$C$14,0),2)</f>
        <v>Goat milk soap</v>
      </c>
      <c r="K192" s="4">
        <v>5.95</v>
      </c>
      <c r="L192" s="8">
        <v>3</v>
      </c>
      <c r="M192" s="10">
        <f t="shared" si="6"/>
        <v>17.850000000000001</v>
      </c>
      <c r="N192">
        <v>2</v>
      </c>
      <c r="O192" s="3"/>
      <c r="P192" s="2"/>
      <c r="Q192" s="10">
        <f t="shared" si="7"/>
        <v>17.850000000000001</v>
      </c>
    </row>
    <row r="193" spans="1:17" x14ac:dyDescent="0.45">
      <c r="A193">
        <v>192</v>
      </c>
      <c r="B193" s="3">
        <v>44793</v>
      </c>
      <c r="C193" s="44">
        <f t="shared" si="8"/>
        <v>44793</v>
      </c>
      <c r="D193">
        <v>6464</v>
      </c>
      <c r="E193" t="str">
        <f>VLOOKUP(SalesTable[[#This Row],[Salesperson ID]],Salespeople!$A$2:$B$16,2,0)</f>
        <v>Hamal Azzi</v>
      </c>
      <c r="F193">
        <v>25772</v>
      </c>
      <c r="G193" t="s">
        <v>162</v>
      </c>
      <c r="H193" t="s">
        <v>96</v>
      </c>
      <c r="I193" t="s">
        <v>44</v>
      </c>
      <c r="J193" t="str">
        <f>INDEX(Products!$A$2:$C$14,MATCH(SalesTable[[#This Row],[Product ID]],Products!$C$2:$C$14,0),2)</f>
        <v>Goat milk and honey cream</v>
      </c>
      <c r="K193" s="4">
        <v>12</v>
      </c>
      <c r="L193" s="8">
        <v>3</v>
      </c>
      <c r="M193" s="10">
        <f t="shared" si="6"/>
        <v>36</v>
      </c>
      <c r="N193">
        <v>2</v>
      </c>
      <c r="O193" s="3"/>
      <c r="P193" s="2"/>
      <c r="Q193" s="10">
        <f t="shared" si="7"/>
        <v>36</v>
      </c>
    </row>
    <row r="194" spans="1:17" x14ac:dyDescent="0.45">
      <c r="A194">
        <v>193</v>
      </c>
      <c r="B194" s="3">
        <v>44793</v>
      </c>
      <c r="C194" s="44">
        <f t="shared" si="8"/>
        <v>44793</v>
      </c>
      <c r="D194">
        <v>4350</v>
      </c>
      <c r="E194" t="str">
        <f>VLOOKUP(SalesTable[[#This Row],[Salesperson ID]],Salespeople!$A$2:$B$16,2,0)</f>
        <v>Mukhtar Masih</v>
      </c>
      <c r="F194">
        <v>15616</v>
      </c>
      <c r="G194" t="s">
        <v>190</v>
      </c>
      <c r="H194" t="s">
        <v>63</v>
      </c>
      <c r="I194" t="s">
        <v>68</v>
      </c>
      <c r="J194" t="str">
        <f>INDEX(Products!$A$2:$C$14,MATCH(SalesTable[[#This Row],[Product ID]],Products!$C$2:$C$14,0),2)</f>
        <v>Mixed berry jam</v>
      </c>
      <c r="K194" s="4">
        <v>7.5</v>
      </c>
      <c r="L194" s="8">
        <v>4</v>
      </c>
      <c r="M194" s="10">
        <f t="shared" ref="M194:M257" si="9">K194*L194</f>
        <v>30</v>
      </c>
      <c r="N194">
        <v>1</v>
      </c>
      <c r="O194" s="3"/>
      <c r="P194" s="2"/>
      <c r="Q194" s="10">
        <f t="shared" ref="Q194:Q257" si="10">M194-M194*P194</f>
        <v>30</v>
      </c>
    </row>
    <row r="195" spans="1:17" x14ac:dyDescent="0.45">
      <c r="A195">
        <v>194</v>
      </c>
      <c r="B195" s="3">
        <v>44793</v>
      </c>
      <c r="C195" s="44">
        <f t="shared" ref="C195:C258" si="11">B195</f>
        <v>44793</v>
      </c>
      <c r="D195">
        <v>8064</v>
      </c>
      <c r="E195" t="str">
        <f>VLOOKUP(SalesTable[[#This Row],[Salesperson ID]],Salespeople!$A$2:$B$16,2,0)</f>
        <v>Amal Salazar</v>
      </c>
      <c r="F195">
        <v>12504</v>
      </c>
      <c r="G195" t="s">
        <v>197</v>
      </c>
      <c r="H195" t="s">
        <v>56</v>
      </c>
      <c r="I195" t="s">
        <v>36</v>
      </c>
      <c r="J195" t="str">
        <f>INDEX(Products!$A$2:$C$14,MATCH(SalesTable[[#This Row],[Product ID]],Products!$C$2:$C$14,0),2)</f>
        <v>Goat milk soap</v>
      </c>
      <c r="K195" s="4">
        <v>5.95</v>
      </c>
      <c r="L195" s="8">
        <v>5</v>
      </c>
      <c r="M195" s="10">
        <f t="shared" si="9"/>
        <v>29.75</v>
      </c>
      <c r="N195">
        <v>0</v>
      </c>
      <c r="O195" s="3"/>
      <c r="P195" s="2"/>
      <c r="Q195" s="10">
        <f t="shared" si="10"/>
        <v>29.75</v>
      </c>
    </row>
    <row r="196" spans="1:17" x14ac:dyDescent="0.45">
      <c r="A196">
        <v>195</v>
      </c>
      <c r="B196" s="3">
        <v>44793</v>
      </c>
      <c r="C196" s="44">
        <f t="shared" si="11"/>
        <v>44793</v>
      </c>
      <c r="D196">
        <v>6143</v>
      </c>
      <c r="E196" t="str">
        <f>VLOOKUP(SalesTable[[#This Row],[Salesperson ID]],Salespeople!$A$2:$B$16,2,0)</f>
        <v>Liane Cormier</v>
      </c>
      <c r="F196">
        <v>15868</v>
      </c>
      <c r="G196" t="s">
        <v>175</v>
      </c>
      <c r="H196" t="s">
        <v>88</v>
      </c>
      <c r="I196" t="s">
        <v>68</v>
      </c>
      <c r="J196" t="str">
        <f>INDEX(Products!$A$2:$C$14,MATCH(SalesTable[[#This Row],[Product ID]],Products!$C$2:$C$14,0),2)</f>
        <v>Mixed berry jam</v>
      </c>
      <c r="K196" s="4">
        <v>7.5</v>
      </c>
      <c r="L196" s="8">
        <v>1</v>
      </c>
      <c r="M196" s="10">
        <f t="shared" si="9"/>
        <v>7.5</v>
      </c>
      <c r="N196">
        <v>1</v>
      </c>
      <c r="O196" s="3"/>
      <c r="P196" s="2"/>
      <c r="Q196" s="10">
        <f t="shared" si="10"/>
        <v>7.5</v>
      </c>
    </row>
    <row r="197" spans="1:17" x14ac:dyDescent="0.45">
      <c r="A197">
        <v>196</v>
      </c>
      <c r="B197" s="3">
        <v>44794</v>
      </c>
      <c r="C197" s="44">
        <f t="shared" si="11"/>
        <v>44794</v>
      </c>
      <c r="D197">
        <v>6464</v>
      </c>
      <c r="E197" t="str">
        <f>VLOOKUP(SalesTable[[#This Row],[Salesperson ID]],Salespeople!$A$2:$B$16,2,0)</f>
        <v>Hamal Azzi</v>
      </c>
      <c r="F197">
        <v>22611</v>
      </c>
      <c r="G197" t="s">
        <v>115</v>
      </c>
      <c r="H197" t="s">
        <v>98</v>
      </c>
      <c r="I197" t="s">
        <v>59</v>
      </c>
      <c r="J197" t="str">
        <f>INDEX(Products!$A$2:$C$14,MATCH(SalesTable[[#This Row],[Product ID]],Products!$C$2:$C$14,0),2)</f>
        <v>Wildflower honey</v>
      </c>
      <c r="K197" s="4">
        <v>9</v>
      </c>
      <c r="L197" s="8">
        <v>5</v>
      </c>
      <c r="M197" s="10">
        <f t="shared" si="9"/>
        <v>45</v>
      </c>
      <c r="N197">
        <v>2</v>
      </c>
      <c r="O197" s="3"/>
      <c r="P197" s="2"/>
      <c r="Q197" s="10">
        <f t="shared" si="10"/>
        <v>45</v>
      </c>
    </row>
    <row r="198" spans="1:17" x14ac:dyDescent="0.45">
      <c r="A198">
        <v>197</v>
      </c>
      <c r="B198" s="3">
        <v>44794</v>
      </c>
      <c r="C198" s="44">
        <f t="shared" si="11"/>
        <v>44794</v>
      </c>
      <c r="D198">
        <v>8064</v>
      </c>
      <c r="E198" t="str">
        <f>VLOOKUP(SalesTable[[#This Row],[Salesperson ID]],Salespeople!$A$2:$B$16,2,0)</f>
        <v>Amal Salazar</v>
      </c>
      <c r="F198">
        <v>24537</v>
      </c>
      <c r="G198" t="s">
        <v>181</v>
      </c>
      <c r="H198" t="s">
        <v>66</v>
      </c>
      <c r="I198" t="s">
        <v>68</v>
      </c>
      <c r="J198" t="str">
        <f>INDEX(Products!$A$2:$C$14,MATCH(SalesTable[[#This Row],[Product ID]],Products!$C$2:$C$14,0),2)</f>
        <v>Mixed berry jam</v>
      </c>
      <c r="K198" s="4">
        <v>7.5</v>
      </c>
      <c r="L198" s="8">
        <v>4</v>
      </c>
      <c r="M198" s="10">
        <f t="shared" si="9"/>
        <v>30</v>
      </c>
      <c r="N198">
        <v>2</v>
      </c>
      <c r="O198" s="3"/>
      <c r="P198" s="2"/>
      <c r="Q198" s="10">
        <f t="shared" si="10"/>
        <v>30</v>
      </c>
    </row>
    <row r="199" spans="1:17" x14ac:dyDescent="0.45">
      <c r="A199">
        <v>198</v>
      </c>
      <c r="B199" s="3">
        <v>44795</v>
      </c>
      <c r="C199" s="44">
        <f t="shared" si="11"/>
        <v>44795</v>
      </c>
      <c r="D199">
        <v>6678</v>
      </c>
      <c r="E199" t="str">
        <f>VLOOKUP(SalesTable[[#This Row],[Salesperson ID]],Salespeople!$A$2:$B$16,2,0)</f>
        <v>Amalia Ribeiro</v>
      </c>
      <c r="F199">
        <v>23827</v>
      </c>
      <c r="G199" t="s">
        <v>152</v>
      </c>
      <c r="H199" t="s">
        <v>78</v>
      </c>
      <c r="I199" t="s">
        <v>47</v>
      </c>
      <c r="J199" t="str">
        <f>INDEX(Products!$A$2:$C$14,MATCH(SalesTable[[#This Row],[Product ID]],Products!$C$2:$C$14,0),2)</f>
        <v>Mixed berry jelly</v>
      </c>
      <c r="K199" s="4">
        <v>7.5</v>
      </c>
      <c r="L199" s="8">
        <v>9</v>
      </c>
      <c r="M199" s="10">
        <f t="shared" si="9"/>
        <v>67.5</v>
      </c>
      <c r="N199">
        <v>3</v>
      </c>
      <c r="O199" s="3"/>
      <c r="P199" s="2"/>
      <c r="Q199" s="10">
        <f t="shared" si="10"/>
        <v>67.5</v>
      </c>
    </row>
    <row r="200" spans="1:17" x14ac:dyDescent="0.45">
      <c r="A200">
        <v>199</v>
      </c>
      <c r="B200" s="3">
        <v>44795</v>
      </c>
      <c r="C200" s="44">
        <f t="shared" si="11"/>
        <v>44795</v>
      </c>
      <c r="D200">
        <v>6892</v>
      </c>
      <c r="E200" t="str">
        <f>VLOOKUP(SalesTable[[#This Row],[Salesperson ID]],Salespeople!$A$2:$B$16,2,0)</f>
        <v>Fahd Sleiman</v>
      </c>
      <c r="F200">
        <v>12971</v>
      </c>
      <c r="G200" t="s">
        <v>146</v>
      </c>
      <c r="H200" t="s">
        <v>92</v>
      </c>
      <c r="I200" t="s">
        <v>39</v>
      </c>
      <c r="J200" t="str">
        <f>INDEX(Products!$A$2:$C$14,MATCH(SalesTable[[#This Row],[Product ID]],Products!$C$2:$C$14,0),2)</f>
        <v>Rhubarb-strawberry compote</v>
      </c>
      <c r="K200" s="4">
        <v>8</v>
      </c>
      <c r="L200" s="8">
        <v>9</v>
      </c>
      <c r="M200" s="10">
        <f t="shared" si="9"/>
        <v>72</v>
      </c>
      <c r="N200">
        <v>0</v>
      </c>
      <c r="O200" s="3"/>
      <c r="P200" s="2"/>
      <c r="Q200" s="10">
        <f t="shared" si="10"/>
        <v>72</v>
      </c>
    </row>
    <row r="201" spans="1:17" x14ac:dyDescent="0.45">
      <c r="A201">
        <v>200</v>
      </c>
      <c r="B201" s="3">
        <v>44797</v>
      </c>
      <c r="C201" s="44">
        <f t="shared" si="11"/>
        <v>44797</v>
      </c>
      <c r="D201">
        <v>6464</v>
      </c>
      <c r="E201" t="str">
        <f>VLOOKUP(SalesTable[[#This Row],[Salesperson ID]],Salespeople!$A$2:$B$16,2,0)</f>
        <v>Hamal Azzi</v>
      </c>
      <c r="F201">
        <v>15561</v>
      </c>
      <c r="G201" t="s">
        <v>69</v>
      </c>
      <c r="H201" t="s">
        <v>56</v>
      </c>
      <c r="I201" t="s">
        <v>64</v>
      </c>
      <c r="J201" t="str">
        <f>INDEX(Products!$A$2:$C$14,MATCH(SalesTable[[#This Row],[Product ID]],Products!$C$2:$C$14,0),2)</f>
        <v>Oatmeal soap</v>
      </c>
      <c r="K201" s="4">
        <v>5.95</v>
      </c>
      <c r="L201" s="8">
        <v>8</v>
      </c>
      <c r="M201" s="10">
        <f t="shared" si="9"/>
        <v>47.6</v>
      </c>
      <c r="N201">
        <v>2</v>
      </c>
      <c r="O201" s="3"/>
      <c r="P201" s="2"/>
      <c r="Q201" s="10">
        <f t="shared" si="10"/>
        <v>47.6</v>
      </c>
    </row>
    <row r="202" spans="1:17" x14ac:dyDescent="0.45">
      <c r="A202">
        <v>201</v>
      </c>
      <c r="B202" s="3">
        <v>44797</v>
      </c>
      <c r="C202" s="44">
        <f t="shared" si="11"/>
        <v>44797</v>
      </c>
      <c r="D202">
        <v>6464</v>
      </c>
      <c r="E202" t="str">
        <f>VLOOKUP(SalesTable[[#This Row],[Salesperson ID]],Salespeople!$A$2:$B$16,2,0)</f>
        <v>Hamal Azzi</v>
      </c>
      <c r="F202">
        <v>19842</v>
      </c>
      <c r="G202" t="s">
        <v>198</v>
      </c>
      <c r="H202" t="s">
        <v>96</v>
      </c>
      <c r="I202" t="s">
        <v>61</v>
      </c>
      <c r="J202" t="str">
        <f>INDEX(Products!$A$2:$C$14,MATCH(SalesTable[[#This Row],[Product ID]],Products!$C$2:$C$14,0),2)</f>
        <v>Buckwheat honey</v>
      </c>
      <c r="K202" s="4">
        <v>9</v>
      </c>
      <c r="L202" s="8">
        <v>8</v>
      </c>
      <c r="M202" s="10">
        <f t="shared" si="9"/>
        <v>72</v>
      </c>
      <c r="N202">
        <v>2</v>
      </c>
      <c r="O202" s="3"/>
      <c r="P202" s="2"/>
      <c r="Q202" s="10">
        <f t="shared" si="10"/>
        <v>72</v>
      </c>
    </row>
    <row r="203" spans="1:17" x14ac:dyDescent="0.45">
      <c r="A203">
        <v>202</v>
      </c>
      <c r="B203" s="3">
        <v>44798</v>
      </c>
      <c r="C203" s="44">
        <f t="shared" si="11"/>
        <v>44798</v>
      </c>
      <c r="D203">
        <v>5382</v>
      </c>
      <c r="E203" t="str">
        <f>VLOOKUP(SalesTable[[#This Row],[Salesperson ID]],Salespeople!$A$2:$B$16,2,0)</f>
        <v>Diya Nueimat</v>
      </c>
      <c r="F203">
        <v>25940</v>
      </c>
      <c r="G203" t="s">
        <v>199</v>
      </c>
      <c r="H203" t="s">
        <v>84</v>
      </c>
      <c r="I203" t="s">
        <v>39</v>
      </c>
      <c r="J203" t="str">
        <f>INDEX(Products!$A$2:$C$14,MATCH(SalesTable[[#This Row],[Product ID]],Products!$C$2:$C$14,0),2)</f>
        <v>Rhubarb-strawberry compote</v>
      </c>
      <c r="K203" s="4">
        <v>8</v>
      </c>
      <c r="L203" s="8">
        <v>4</v>
      </c>
      <c r="M203" s="10">
        <f t="shared" si="9"/>
        <v>32</v>
      </c>
      <c r="N203">
        <v>1</v>
      </c>
      <c r="O203" s="3"/>
      <c r="P203" s="2"/>
      <c r="Q203" s="10">
        <f t="shared" si="10"/>
        <v>32</v>
      </c>
    </row>
    <row r="204" spans="1:17" x14ac:dyDescent="0.45">
      <c r="A204">
        <v>203</v>
      </c>
      <c r="B204" s="3">
        <v>44798</v>
      </c>
      <c r="C204" s="44">
        <f t="shared" si="11"/>
        <v>44798</v>
      </c>
      <c r="D204">
        <v>5346</v>
      </c>
      <c r="E204" t="str">
        <f>VLOOKUP(SalesTable[[#This Row],[Salesperson ID]],Salespeople!$A$2:$B$16,2,0)</f>
        <v>Sergio Galvez</v>
      </c>
      <c r="F204">
        <v>24735</v>
      </c>
      <c r="G204" t="s">
        <v>188</v>
      </c>
      <c r="H204" t="s">
        <v>54</v>
      </c>
      <c r="I204" t="s">
        <v>36</v>
      </c>
      <c r="J204" t="str">
        <f>INDEX(Products!$A$2:$C$14,MATCH(SalesTable[[#This Row],[Product ID]],Products!$C$2:$C$14,0),2)</f>
        <v>Goat milk soap</v>
      </c>
      <c r="K204" s="4">
        <v>5.95</v>
      </c>
      <c r="L204" s="8">
        <v>9</v>
      </c>
      <c r="M204" s="10">
        <f t="shared" si="9"/>
        <v>53.550000000000004</v>
      </c>
      <c r="N204">
        <v>1</v>
      </c>
      <c r="O204" s="3"/>
      <c r="P204" s="2"/>
      <c r="Q204" s="10">
        <f t="shared" si="10"/>
        <v>53.550000000000004</v>
      </c>
    </row>
    <row r="205" spans="1:17" x14ac:dyDescent="0.45">
      <c r="A205">
        <v>204</v>
      </c>
      <c r="B205" s="3">
        <v>44798</v>
      </c>
      <c r="C205" s="44">
        <f t="shared" si="11"/>
        <v>44798</v>
      </c>
      <c r="D205">
        <v>5400</v>
      </c>
      <c r="E205" t="str">
        <f>VLOOKUP(SalesTable[[#This Row],[Salesperson ID]],Salespeople!$A$2:$B$16,2,0)</f>
        <v>Maisha Karzai</v>
      </c>
      <c r="F205">
        <v>16953</v>
      </c>
      <c r="G205" t="s">
        <v>170</v>
      </c>
      <c r="H205" t="s">
        <v>41</v>
      </c>
      <c r="I205" t="s">
        <v>82</v>
      </c>
      <c r="J205" t="str">
        <f>INDEX(Products!$A$2:$C$14,MATCH(SalesTable[[#This Row],[Product ID]],Products!$C$2:$C$14,0),2)</f>
        <v>Oatmeal hand and body lotion</v>
      </c>
      <c r="K205" s="4">
        <v>12</v>
      </c>
      <c r="L205" s="8">
        <v>5</v>
      </c>
      <c r="M205" s="10">
        <f t="shared" si="9"/>
        <v>60</v>
      </c>
      <c r="N205">
        <v>3</v>
      </c>
      <c r="O205" s="3"/>
      <c r="P205" s="2"/>
      <c r="Q205" s="10">
        <f t="shared" si="10"/>
        <v>60</v>
      </c>
    </row>
    <row r="206" spans="1:17" x14ac:dyDescent="0.45">
      <c r="A206">
        <v>205</v>
      </c>
      <c r="B206" s="3">
        <v>44798</v>
      </c>
      <c r="C206" s="44">
        <f t="shared" si="11"/>
        <v>44798</v>
      </c>
      <c r="D206">
        <v>8064</v>
      </c>
      <c r="E206" t="str">
        <f>VLOOKUP(SalesTable[[#This Row],[Salesperson ID]],Salespeople!$A$2:$B$16,2,0)</f>
        <v>Amal Salazar</v>
      </c>
      <c r="F206">
        <v>17640</v>
      </c>
      <c r="G206" t="s">
        <v>179</v>
      </c>
      <c r="H206" t="s">
        <v>66</v>
      </c>
      <c r="I206" t="s">
        <v>36</v>
      </c>
      <c r="J206" t="str">
        <f>INDEX(Products!$A$2:$C$14,MATCH(SalesTable[[#This Row],[Product ID]],Products!$C$2:$C$14,0),2)</f>
        <v>Goat milk soap</v>
      </c>
      <c r="K206" s="4">
        <v>5.95</v>
      </c>
      <c r="L206" s="8">
        <v>8</v>
      </c>
      <c r="M206" s="10">
        <f t="shared" si="9"/>
        <v>47.6</v>
      </c>
      <c r="N206">
        <v>2</v>
      </c>
      <c r="O206" s="3"/>
      <c r="P206" s="2"/>
      <c r="Q206" s="10">
        <f t="shared" si="10"/>
        <v>47.6</v>
      </c>
    </row>
    <row r="207" spans="1:17" x14ac:dyDescent="0.45">
      <c r="A207">
        <v>206</v>
      </c>
      <c r="B207" s="3">
        <v>44798</v>
      </c>
      <c r="C207" s="44">
        <f t="shared" si="11"/>
        <v>44798</v>
      </c>
      <c r="D207">
        <v>6357</v>
      </c>
      <c r="E207" t="str">
        <f>VLOOKUP(SalesTable[[#This Row],[Salesperson ID]],Salespeople!$A$2:$B$16,2,0)</f>
        <v>Johnny Bear</v>
      </c>
      <c r="F207">
        <v>22911</v>
      </c>
      <c r="G207" t="s">
        <v>114</v>
      </c>
      <c r="H207" t="s">
        <v>66</v>
      </c>
      <c r="I207" t="s">
        <v>36</v>
      </c>
      <c r="J207" t="str">
        <f>INDEX(Products!$A$2:$C$14,MATCH(SalesTable[[#This Row],[Product ID]],Products!$C$2:$C$14,0),2)</f>
        <v>Goat milk soap</v>
      </c>
      <c r="K207" s="4">
        <v>5.95</v>
      </c>
      <c r="L207" s="8">
        <v>5</v>
      </c>
      <c r="M207" s="10">
        <f t="shared" si="9"/>
        <v>29.75</v>
      </c>
      <c r="N207">
        <v>2</v>
      </c>
      <c r="O207" s="3"/>
      <c r="P207" s="2"/>
      <c r="Q207" s="10">
        <f t="shared" si="10"/>
        <v>29.75</v>
      </c>
    </row>
    <row r="208" spans="1:17" x14ac:dyDescent="0.45">
      <c r="A208">
        <v>207</v>
      </c>
      <c r="B208" s="3">
        <v>44798</v>
      </c>
      <c r="C208" s="44">
        <f t="shared" si="11"/>
        <v>44798</v>
      </c>
      <c r="D208">
        <v>6571</v>
      </c>
      <c r="E208" t="str">
        <f>VLOOKUP(SalesTable[[#This Row],[Salesperson ID]],Salespeople!$A$2:$B$16,2,0)</f>
        <v>Iker Dominguez</v>
      </c>
      <c r="F208">
        <v>19737</v>
      </c>
      <c r="G208" t="s">
        <v>200</v>
      </c>
      <c r="H208" t="s">
        <v>96</v>
      </c>
      <c r="I208" t="s">
        <v>68</v>
      </c>
      <c r="J208" t="str">
        <f>INDEX(Products!$A$2:$C$14,MATCH(SalesTable[[#This Row],[Product ID]],Products!$C$2:$C$14,0),2)</f>
        <v>Mixed berry jam</v>
      </c>
      <c r="K208" s="4">
        <v>7.5</v>
      </c>
      <c r="L208" s="8">
        <v>9</v>
      </c>
      <c r="M208" s="10">
        <f t="shared" si="9"/>
        <v>67.5</v>
      </c>
      <c r="N208">
        <v>0</v>
      </c>
      <c r="O208" s="3"/>
      <c r="P208" s="2"/>
      <c r="Q208" s="10">
        <f t="shared" si="10"/>
        <v>67.5</v>
      </c>
    </row>
    <row r="209" spans="1:17" x14ac:dyDescent="0.45">
      <c r="A209">
        <v>208</v>
      </c>
      <c r="B209" s="3">
        <v>44799</v>
      </c>
      <c r="C209" s="44">
        <f t="shared" si="11"/>
        <v>44799</v>
      </c>
      <c r="D209">
        <v>6571</v>
      </c>
      <c r="E209" t="str">
        <f>VLOOKUP(SalesTable[[#This Row],[Salesperson ID]],Salespeople!$A$2:$B$16,2,0)</f>
        <v>Iker Dominguez</v>
      </c>
      <c r="F209">
        <v>24461</v>
      </c>
      <c r="G209" t="s">
        <v>142</v>
      </c>
      <c r="H209" t="s">
        <v>51</v>
      </c>
      <c r="I209" t="s">
        <v>59</v>
      </c>
      <c r="J209" t="str">
        <f>INDEX(Products!$A$2:$C$14,MATCH(SalesTable[[#This Row],[Product ID]],Products!$C$2:$C$14,0),2)</f>
        <v>Wildflower honey</v>
      </c>
      <c r="K209" s="4">
        <v>9</v>
      </c>
      <c r="L209" s="8">
        <v>9</v>
      </c>
      <c r="M209" s="10">
        <f t="shared" si="9"/>
        <v>81</v>
      </c>
      <c r="N209">
        <v>1</v>
      </c>
      <c r="O209" s="3"/>
      <c r="P209" s="2"/>
      <c r="Q209" s="10">
        <f t="shared" si="10"/>
        <v>81</v>
      </c>
    </row>
    <row r="210" spans="1:17" x14ac:dyDescent="0.45">
      <c r="A210">
        <v>209</v>
      </c>
      <c r="B210" s="3">
        <v>44799</v>
      </c>
      <c r="C210" s="44">
        <f t="shared" si="11"/>
        <v>44799</v>
      </c>
      <c r="D210">
        <v>5400</v>
      </c>
      <c r="E210" t="str">
        <f>VLOOKUP(SalesTable[[#This Row],[Salesperson ID]],Salespeople!$A$2:$B$16,2,0)</f>
        <v>Maisha Karzai</v>
      </c>
      <c r="F210">
        <v>26512</v>
      </c>
      <c r="G210" t="s">
        <v>158</v>
      </c>
      <c r="H210" t="s">
        <v>41</v>
      </c>
      <c r="I210" t="s">
        <v>61</v>
      </c>
      <c r="J210" t="str">
        <f>INDEX(Products!$A$2:$C$14,MATCH(SalesTable[[#This Row],[Product ID]],Products!$C$2:$C$14,0),2)</f>
        <v>Buckwheat honey</v>
      </c>
      <c r="K210" s="4">
        <v>9</v>
      </c>
      <c r="L210" s="8">
        <v>1</v>
      </c>
      <c r="M210" s="10">
        <f t="shared" si="9"/>
        <v>9</v>
      </c>
      <c r="N210">
        <v>0</v>
      </c>
      <c r="O210" s="3"/>
      <c r="P210" s="2"/>
      <c r="Q210" s="10">
        <f t="shared" si="10"/>
        <v>9</v>
      </c>
    </row>
    <row r="211" spans="1:17" x14ac:dyDescent="0.45">
      <c r="A211">
        <v>210</v>
      </c>
      <c r="B211" s="3">
        <v>44799</v>
      </c>
      <c r="C211" s="44">
        <f t="shared" si="11"/>
        <v>44799</v>
      </c>
      <c r="D211">
        <v>5382</v>
      </c>
      <c r="E211" t="str">
        <f>VLOOKUP(SalesTable[[#This Row],[Salesperson ID]],Salespeople!$A$2:$B$16,2,0)</f>
        <v>Diya Nueimat</v>
      </c>
      <c r="F211">
        <v>24952</v>
      </c>
      <c r="G211" t="s">
        <v>60</v>
      </c>
      <c r="H211" t="s">
        <v>56</v>
      </c>
      <c r="I211" t="s">
        <v>52</v>
      </c>
      <c r="J211" t="str">
        <f>INDEX(Products!$A$2:$C$14,MATCH(SalesTable[[#This Row],[Product ID]],Products!$C$2:$C$14,0),2)</f>
        <v>Strawberry jam</v>
      </c>
      <c r="K211" s="4">
        <v>7.5</v>
      </c>
      <c r="L211" s="8">
        <v>6</v>
      </c>
      <c r="M211" s="10">
        <f t="shared" si="9"/>
        <v>45</v>
      </c>
      <c r="N211">
        <v>2</v>
      </c>
      <c r="O211" s="3"/>
      <c r="P211" s="2"/>
      <c r="Q211" s="10">
        <f t="shared" si="10"/>
        <v>45</v>
      </c>
    </row>
    <row r="212" spans="1:17" x14ac:dyDescent="0.45">
      <c r="A212">
        <v>211</v>
      </c>
      <c r="B212" s="3">
        <v>44799</v>
      </c>
      <c r="C212" s="44">
        <f t="shared" si="11"/>
        <v>44799</v>
      </c>
      <c r="D212">
        <v>6143</v>
      </c>
      <c r="E212" t="str">
        <f>VLOOKUP(SalesTable[[#This Row],[Salesperson ID]],Salespeople!$A$2:$B$16,2,0)</f>
        <v>Liane Cormier</v>
      </c>
      <c r="F212">
        <v>13739</v>
      </c>
      <c r="G212" t="s">
        <v>130</v>
      </c>
      <c r="H212" t="s">
        <v>46</v>
      </c>
      <c r="I212" t="s">
        <v>61</v>
      </c>
      <c r="J212" t="str">
        <f>INDEX(Products!$A$2:$C$14,MATCH(SalesTable[[#This Row],[Product ID]],Products!$C$2:$C$14,0),2)</f>
        <v>Buckwheat honey</v>
      </c>
      <c r="K212" s="4">
        <v>9</v>
      </c>
      <c r="L212" s="8">
        <v>3</v>
      </c>
      <c r="M212" s="10">
        <f t="shared" si="9"/>
        <v>27</v>
      </c>
      <c r="N212">
        <v>2</v>
      </c>
      <c r="O212" s="3"/>
      <c r="P212" s="2"/>
      <c r="Q212" s="10">
        <f t="shared" si="10"/>
        <v>27</v>
      </c>
    </row>
    <row r="213" spans="1:17" x14ac:dyDescent="0.45">
      <c r="A213">
        <v>212</v>
      </c>
      <c r="B213" s="3">
        <v>44800</v>
      </c>
      <c r="C213" s="44">
        <f t="shared" si="11"/>
        <v>44800</v>
      </c>
      <c r="D213">
        <v>5346</v>
      </c>
      <c r="E213" t="str">
        <f>VLOOKUP(SalesTable[[#This Row],[Salesperson ID]],Salespeople!$A$2:$B$16,2,0)</f>
        <v>Sergio Galvez</v>
      </c>
      <c r="F213">
        <v>20832</v>
      </c>
      <c r="G213" t="s">
        <v>183</v>
      </c>
      <c r="H213" t="s">
        <v>63</v>
      </c>
      <c r="I213" t="s">
        <v>82</v>
      </c>
      <c r="J213" t="str">
        <f>INDEX(Products!$A$2:$C$14,MATCH(SalesTable[[#This Row],[Product ID]],Products!$C$2:$C$14,0),2)</f>
        <v>Oatmeal hand and body lotion</v>
      </c>
      <c r="K213" s="4">
        <v>12</v>
      </c>
      <c r="L213" s="8">
        <v>10</v>
      </c>
      <c r="M213" s="10">
        <f t="shared" si="9"/>
        <v>120</v>
      </c>
      <c r="N213">
        <v>1</v>
      </c>
      <c r="O213" s="3"/>
      <c r="P213" s="2"/>
      <c r="Q213" s="10">
        <f t="shared" si="10"/>
        <v>120</v>
      </c>
    </row>
    <row r="214" spans="1:17" x14ac:dyDescent="0.45">
      <c r="A214">
        <v>213</v>
      </c>
      <c r="B214" s="3">
        <v>44800</v>
      </c>
      <c r="C214" s="44">
        <f t="shared" si="11"/>
        <v>44800</v>
      </c>
      <c r="D214">
        <v>6464</v>
      </c>
      <c r="E214" t="str">
        <f>VLOOKUP(SalesTable[[#This Row],[Salesperson ID]],Salespeople!$A$2:$B$16,2,0)</f>
        <v>Hamal Azzi</v>
      </c>
      <c r="F214">
        <v>25355</v>
      </c>
      <c r="G214" t="s">
        <v>117</v>
      </c>
      <c r="H214" t="s">
        <v>98</v>
      </c>
      <c r="I214" t="s">
        <v>44</v>
      </c>
      <c r="J214" t="str">
        <f>INDEX(Products!$A$2:$C$14,MATCH(SalesTable[[#This Row],[Product ID]],Products!$C$2:$C$14,0),2)</f>
        <v>Goat milk and honey cream</v>
      </c>
      <c r="K214" s="4">
        <v>12</v>
      </c>
      <c r="L214" s="8">
        <v>6</v>
      </c>
      <c r="M214" s="10">
        <f t="shared" si="9"/>
        <v>72</v>
      </c>
      <c r="N214">
        <v>3</v>
      </c>
      <c r="O214" s="3"/>
      <c r="P214" s="2"/>
      <c r="Q214" s="10">
        <f t="shared" si="10"/>
        <v>72</v>
      </c>
    </row>
    <row r="215" spans="1:17" x14ac:dyDescent="0.45">
      <c r="A215">
        <v>214</v>
      </c>
      <c r="B215" s="3">
        <v>44801</v>
      </c>
      <c r="C215" s="44">
        <f t="shared" si="11"/>
        <v>44801</v>
      </c>
      <c r="D215">
        <v>6678</v>
      </c>
      <c r="E215" t="str">
        <f>VLOOKUP(SalesTable[[#This Row],[Salesperson ID]],Salespeople!$A$2:$B$16,2,0)</f>
        <v>Amalia Ribeiro</v>
      </c>
      <c r="F215">
        <v>22597</v>
      </c>
      <c r="G215" t="s">
        <v>201</v>
      </c>
      <c r="H215" t="s">
        <v>54</v>
      </c>
      <c r="I215" t="s">
        <v>39</v>
      </c>
      <c r="J215" t="str">
        <f>INDEX(Products!$A$2:$C$14,MATCH(SalesTable[[#This Row],[Product ID]],Products!$C$2:$C$14,0),2)</f>
        <v>Rhubarb-strawberry compote</v>
      </c>
      <c r="K215" s="4">
        <v>8</v>
      </c>
      <c r="L215" s="8">
        <v>3</v>
      </c>
      <c r="M215" s="10">
        <f t="shared" si="9"/>
        <v>24</v>
      </c>
      <c r="N215">
        <v>2</v>
      </c>
      <c r="O215" s="3"/>
      <c r="P215" s="2"/>
      <c r="Q215" s="10">
        <f t="shared" si="10"/>
        <v>24</v>
      </c>
    </row>
    <row r="216" spans="1:17" x14ac:dyDescent="0.45">
      <c r="A216">
        <v>215</v>
      </c>
      <c r="B216" s="3">
        <v>44801</v>
      </c>
      <c r="C216" s="44">
        <f t="shared" si="11"/>
        <v>44801</v>
      </c>
      <c r="D216">
        <v>6892</v>
      </c>
      <c r="E216" t="str">
        <f>VLOOKUP(SalesTable[[#This Row],[Salesperson ID]],Salespeople!$A$2:$B$16,2,0)</f>
        <v>Fahd Sleiman</v>
      </c>
      <c r="F216">
        <v>21702</v>
      </c>
      <c r="G216" t="s">
        <v>150</v>
      </c>
      <c r="H216" t="s">
        <v>56</v>
      </c>
      <c r="I216" t="s">
        <v>47</v>
      </c>
      <c r="J216" t="str">
        <f>INDEX(Products!$A$2:$C$14,MATCH(SalesTable[[#This Row],[Product ID]],Products!$C$2:$C$14,0),2)</f>
        <v>Mixed berry jelly</v>
      </c>
      <c r="K216" s="4">
        <v>7.5</v>
      </c>
      <c r="L216" s="8">
        <v>3</v>
      </c>
      <c r="M216" s="10">
        <f t="shared" si="9"/>
        <v>22.5</v>
      </c>
      <c r="N216">
        <v>1</v>
      </c>
      <c r="O216" s="3"/>
      <c r="P216" s="2"/>
      <c r="Q216" s="10">
        <f t="shared" si="10"/>
        <v>22.5</v>
      </c>
    </row>
    <row r="217" spans="1:17" x14ac:dyDescent="0.45">
      <c r="A217">
        <v>216</v>
      </c>
      <c r="B217" s="3">
        <v>44801</v>
      </c>
      <c r="C217" s="44">
        <f t="shared" si="11"/>
        <v>44801</v>
      </c>
      <c r="D217">
        <v>6678</v>
      </c>
      <c r="E217" t="str">
        <f>VLOOKUP(SalesTable[[#This Row],[Salesperson ID]],Salespeople!$A$2:$B$16,2,0)</f>
        <v>Amalia Ribeiro</v>
      </c>
      <c r="F217">
        <v>21914</v>
      </c>
      <c r="G217" t="s">
        <v>202</v>
      </c>
      <c r="H217" t="s">
        <v>51</v>
      </c>
      <c r="I217" t="s">
        <v>64</v>
      </c>
      <c r="J217" t="str">
        <f>INDEX(Products!$A$2:$C$14,MATCH(SalesTable[[#This Row],[Product ID]],Products!$C$2:$C$14,0),2)</f>
        <v>Oatmeal soap</v>
      </c>
      <c r="K217" s="4">
        <v>5.95</v>
      </c>
      <c r="L217" s="8">
        <v>2</v>
      </c>
      <c r="M217" s="10">
        <f t="shared" si="9"/>
        <v>11.9</v>
      </c>
      <c r="N217">
        <v>0</v>
      </c>
      <c r="O217" s="3"/>
      <c r="P217" s="2"/>
      <c r="Q217" s="10">
        <f t="shared" si="10"/>
        <v>11.9</v>
      </c>
    </row>
    <row r="218" spans="1:17" x14ac:dyDescent="0.45">
      <c r="A218">
        <v>217</v>
      </c>
      <c r="B218" s="3">
        <v>44802</v>
      </c>
      <c r="C218" s="44">
        <f t="shared" si="11"/>
        <v>44802</v>
      </c>
      <c r="D218">
        <v>6892</v>
      </c>
      <c r="E218" t="str">
        <f>VLOOKUP(SalesTable[[#This Row],[Salesperson ID]],Salespeople!$A$2:$B$16,2,0)</f>
        <v>Fahd Sleiman</v>
      </c>
      <c r="F218">
        <v>17441</v>
      </c>
      <c r="G218" t="s">
        <v>80</v>
      </c>
      <c r="H218" t="s">
        <v>51</v>
      </c>
      <c r="I218" t="s">
        <v>47</v>
      </c>
      <c r="J218" t="str">
        <f>INDEX(Products!$A$2:$C$14,MATCH(SalesTable[[#This Row],[Product ID]],Products!$C$2:$C$14,0),2)</f>
        <v>Mixed berry jelly</v>
      </c>
      <c r="K218" s="4">
        <v>7.5</v>
      </c>
      <c r="L218" s="8">
        <v>3</v>
      </c>
      <c r="M218" s="10">
        <f t="shared" si="9"/>
        <v>22.5</v>
      </c>
      <c r="N218">
        <v>0</v>
      </c>
      <c r="O218" s="3"/>
      <c r="P218" s="2"/>
      <c r="Q218" s="10">
        <f t="shared" si="10"/>
        <v>22.5</v>
      </c>
    </row>
    <row r="219" spans="1:17" x14ac:dyDescent="0.45">
      <c r="A219">
        <v>218</v>
      </c>
      <c r="B219" s="3">
        <v>44802</v>
      </c>
      <c r="C219" s="44">
        <f t="shared" si="11"/>
        <v>44802</v>
      </c>
      <c r="D219">
        <v>5382</v>
      </c>
      <c r="E219" t="str">
        <f>VLOOKUP(SalesTable[[#This Row],[Salesperson ID]],Salespeople!$A$2:$B$16,2,0)</f>
        <v>Diya Nueimat</v>
      </c>
      <c r="F219">
        <v>17376</v>
      </c>
      <c r="G219" t="s">
        <v>172</v>
      </c>
      <c r="H219" t="s">
        <v>41</v>
      </c>
      <c r="I219" t="s">
        <v>59</v>
      </c>
      <c r="J219" t="str">
        <f>INDEX(Products!$A$2:$C$14,MATCH(SalesTable[[#This Row],[Product ID]],Products!$C$2:$C$14,0),2)</f>
        <v>Wildflower honey</v>
      </c>
      <c r="K219" s="4">
        <v>9</v>
      </c>
      <c r="L219" s="8">
        <v>10</v>
      </c>
      <c r="M219" s="10">
        <f t="shared" si="9"/>
        <v>90</v>
      </c>
      <c r="N219">
        <v>1</v>
      </c>
      <c r="O219" s="3"/>
      <c r="P219" s="2"/>
      <c r="Q219" s="10">
        <f t="shared" si="10"/>
        <v>90</v>
      </c>
    </row>
    <row r="220" spans="1:17" x14ac:dyDescent="0.45">
      <c r="A220">
        <v>219</v>
      </c>
      <c r="B220" s="3">
        <v>44802</v>
      </c>
      <c r="C220" s="44">
        <f t="shared" si="11"/>
        <v>44802</v>
      </c>
      <c r="D220">
        <v>5346</v>
      </c>
      <c r="E220" t="str">
        <f>VLOOKUP(SalesTable[[#This Row],[Salesperson ID]],Salespeople!$A$2:$B$16,2,0)</f>
        <v>Sergio Galvez</v>
      </c>
      <c r="F220">
        <v>21104</v>
      </c>
      <c r="G220" t="s">
        <v>126</v>
      </c>
      <c r="H220" t="s">
        <v>51</v>
      </c>
      <c r="I220" t="s">
        <v>57</v>
      </c>
      <c r="J220" t="str">
        <f>INDEX(Products!$A$2:$C$14,MATCH(SalesTable[[#This Row],[Product ID]],Products!$C$2:$C$14,0),2)</f>
        <v>Clover honey</v>
      </c>
      <c r="K220" s="4">
        <v>9</v>
      </c>
      <c r="L220" s="8">
        <v>1</v>
      </c>
      <c r="M220" s="10">
        <f t="shared" si="9"/>
        <v>9</v>
      </c>
      <c r="N220">
        <v>1</v>
      </c>
      <c r="O220" s="3"/>
      <c r="P220" s="2"/>
      <c r="Q220" s="10">
        <f t="shared" si="10"/>
        <v>9</v>
      </c>
    </row>
    <row r="221" spans="1:17" x14ac:dyDescent="0.45">
      <c r="A221">
        <v>220</v>
      </c>
      <c r="B221" s="3">
        <v>44802</v>
      </c>
      <c r="C221" s="44">
        <f t="shared" si="11"/>
        <v>44802</v>
      </c>
      <c r="D221">
        <v>6678</v>
      </c>
      <c r="E221" t="str">
        <f>VLOOKUP(SalesTable[[#This Row],[Salesperson ID]],Salespeople!$A$2:$B$16,2,0)</f>
        <v>Amalia Ribeiro</v>
      </c>
      <c r="F221">
        <v>13321</v>
      </c>
      <c r="G221" t="s">
        <v>151</v>
      </c>
      <c r="H221" t="s">
        <v>35</v>
      </c>
      <c r="I221" t="s">
        <v>39</v>
      </c>
      <c r="J221" t="str">
        <f>INDEX(Products!$A$2:$C$14,MATCH(SalesTable[[#This Row],[Product ID]],Products!$C$2:$C$14,0),2)</f>
        <v>Rhubarb-strawberry compote</v>
      </c>
      <c r="K221" s="4">
        <v>8</v>
      </c>
      <c r="L221" s="8">
        <v>10</v>
      </c>
      <c r="M221" s="10">
        <f t="shared" si="9"/>
        <v>80</v>
      </c>
      <c r="N221">
        <v>2</v>
      </c>
      <c r="O221" s="3"/>
      <c r="P221" s="2"/>
      <c r="Q221" s="10">
        <f t="shared" si="10"/>
        <v>80</v>
      </c>
    </row>
    <row r="222" spans="1:17" x14ac:dyDescent="0.45">
      <c r="A222">
        <v>221</v>
      </c>
      <c r="B222" s="3">
        <v>44803</v>
      </c>
      <c r="C222" s="44">
        <f t="shared" si="11"/>
        <v>44803</v>
      </c>
      <c r="D222">
        <v>5400</v>
      </c>
      <c r="E222" t="str">
        <f>VLOOKUP(SalesTable[[#This Row],[Salesperson ID]],Salespeople!$A$2:$B$16,2,0)</f>
        <v>Maisha Karzai</v>
      </c>
      <c r="F222">
        <v>26564</v>
      </c>
      <c r="G222" t="s">
        <v>86</v>
      </c>
      <c r="H222" t="s">
        <v>46</v>
      </c>
      <c r="I222" t="s">
        <v>68</v>
      </c>
      <c r="J222" t="str">
        <f>INDEX(Products!$A$2:$C$14,MATCH(SalesTable[[#This Row],[Product ID]],Products!$C$2:$C$14,0),2)</f>
        <v>Mixed berry jam</v>
      </c>
      <c r="K222" s="4">
        <v>7.5</v>
      </c>
      <c r="L222" s="8">
        <v>10</v>
      </c>
      <c r="M222" s="10">
        <f t="shared" si="9"/>
        <v>75</v>
      </c>
      <c r="N222">
        <v>0</v>
      </c>
      <c r="O222" s="3"/>
      <c r="P222" s="2"/>
      <c r="Q222" s="10">
        <f t="shared" si="10"/>
        <v>75</v>
      </c>
    </row>
    <row r="223" spans="1:17" x14ac:dyDescent="0.45">
      <c r="A223">
        <v>222</v>
      </c>
      <c r="B223" s="3">
        <v>44803</v>
      </c>
      <c r="C223" s="44">
        <f t="shared" si="11"/>
        <v>44803</v>
      </c>
      <c r="D223">
        <v>5400</v>
      </c>
      <c r="E223" t="str">
        <f>VLOOKUP(SalesTable[[#This Row],[Salesperson ID]],Salespeople!$A$2:$B$16,2,0)</f>
        <v>Maisha Karzai</v>
      </c>
      <c r="F223">
        <v>25940</v>
      </c>
      <c r="G223" t="s">
        <v>199</v>
      </c>
      <c r="H223" t="s">
        <v>84</v>
      </c>
      <c r="I223" t="s">
        <v>99</v>
      </c>
      <c r="J223" t="str">
        <f>INDEX(Products!$A$2:$C$14,MATCH(SalesTable[[#This Row],[Product ID]],Products!$C$2:$C$14,0),2)</f>
        <v>Goat milk hand and body lotion</v>
      </c>
      <c r="K223" s="4">
        <v>12</v>
      </c>
      <c r="L223" s="8">
        <v>1</v>
      </c>
      <c r="M223" s="10">
        <f t="shared" si="9"/>
        <v>12</v>
      </c>
      <c r="N223">
        <v>0</v>
      </c>
      <c r="O223" s="3"/>
      <c r="P223" s="2"/>
      <c r="Q223" s="10">
        <f t="shared" si="10"/>
        <v>12</v>
      </c>
    </row>
    <row r="224" spans="1:17" x14ac:dyDescent="0.45">
      <c r="A224">
        <v>223</v>
      </c>
      <c r="B224" s="3">
        <v>44803</v>
      </c>
      <c r="C224" s="44">
        <f t="shared" si="11"/>
        <v>44803</v>
      </c>
      <c r="D224">
        <v>6464</v>
      </c>
      <c r="E224" t="str">
        <f>VLOOKUP(SalesTable[[#This Row],[Salesperson ID]],Salespeople!$A$2:$B$16,2,0)</f>
        <v>Hamal Azzi</v>
      </c>
      <c r="F224">
        <v>11959</v>
      </c>
      <c r="G224" t="s">
        <v>177</v>
      </c>
      <c r="H224" t="s">
        <v>98</v>
      </c>
      <c r="I224" t="s">
        <v>57</v>
      </c>
      <c r="J224" t="str">
        <f>INDEX(Products!$A$2:$C$14,MATCH(SalesTable[[#This Row],[Product ID]],Products!$C$2:$C$14,0),2)</f>
        <v>Clover honey</v>
      </c>
      <c r="K224" s="4">
        <v>9</v>
      </c>
      <c r="L224" s="8">
        <v>1</v>
      </c>
      <c r="M224" s="10">
        <f t="shared" si="9"/>
        <v>9</v>
      </c>
      <c r="N224">
        <v>2</v>
      </c>
      <c r="O224" s="3"/>
      <c r="P224" s="2"/>
      <c r="Q224" s="10">
        <f t="shared" si="10"/>
        <v>9</v>
      </c>
    </row>
    <row r="225" spans="1:17" x14ac:dyDescent="0.45">
      <c r="A225">
        <v>224</v>
      </c>
      <c r="B225" s="3">
        <v>44804</v>
      </c>
      <c r="C225" s="44">
        <f t="shared" si="11"/>
        <v>44804</v>
      </c>
      <c r="D225">
        <v>6892</v>
      </c>
      <c r="E225" t="str">
        <f>VLOOKUP(SalesTable[[#This Row],[Salesperson ID]],Salespeople!$A$2:$B$16,2,0)</f>
        <v>Fahd Sleiman</v>
      </c>
      <c r="F225">
        <v>22544</v>
      </c>
      <c r="G225" t="s">
        <v>138</v>
      </c>
      <c r="H225" t="s">
        <v>35</v>
      </c>
      <c r="I225" t="s">
        <v>59</v>
      </c>
      <c r="J225" t="str">
        <f>INDEX(Products!$A$2:$C$14,MATCH(SalesTable[[#This Row],[Product ID]],Products!$C$2:$C$14,0),2)</f>
        <v>Wildflower honey</v>
      </c>
      <c r="K225" s="4">
        <v>9</v>
      </c>
      <c r="L225" s="8">
        <v>6</v>
      </c>
      <c r="M225" s="10">
        <f t="shared" si="9"/>
        <v>54</v>
      </c>
      <c r="N225">
        <v>2</v>
      </c>
      <c r="O225" s="3"/>
      <c r="P225" s="2"/>
      <c r="Q225" s="10">
        <f t="shared" si="10"/>
        <v>54</v>
      </c>
    </row>
    <row r="226" spans="1:17" x14ac:dyDescent="0.45">
      <c r="A226">
        <v>225</v>
      </c>
      <c r="B226" s="3">
        <v>44804</v>
      </c>
      <c r="C226" s="44">
        <f t="shared" si="11"/>
        <v>44804</v>
      </c>
      <c r="D226">
        <v>6678</v>
      </c>
      <c r="E226" t="str">
        <f>VLOOKUP(SalesTable[[#This Row],[Salesperson ID]],Salespeople!$A$2:$B$16,2,0)</f>
        <v>Amalia Ribeiro</v>
      </c>
      <c r="F226">
        <v>21339</v>
      </c>
      <c r="G226" t="s">
        <v>75</v>
      </c>
      <c r="H226" t="s">
        <v>41</v>
      </c>
      <c r="I226" t="s">
        <v>64</v>
      </c>
      <c r="J226" t="str">
        <f>INDEX(Products!$A$2:$C$14,MATCH(SalesTable[[#This Row],[Product ID]],Products!$C$2:$C$14,0),2)</f>
        <v>Oatmeal soap</v>
      </c>
      <c r="K226" s="4">
        <v>5.95</v>
      </c>
      <c r="L226" s="8">
        <v>10</v>
      </c>
      <c r="M226" s="10">
        <f t="shared" si="9"/>
        <v>59.5</v>
      </c>
      <c r="N226">
        <v>2</v>
      </c>
      <c r="O226" s="3"/>
      <c r="P226" s="2"/>
      <c r="Q226" s="10">
        <f t="shared" si="10"/>
        <v>59.5</v>
      </c>
    </row>
    <row r="227" spans="1:17" x14ac:dyDescent="0.45">
      <c r="A227">
        <v>226</v>
      </c>
      <c r="B227" s="3">
        <v>44805</v>
      </c>
      <c r="C227" s="44">
        <f t="shared" si="11"/>
        <v>44805</v>
      </c>
      <c r="D227">
        <v>6143</v>
      </c>
      <c r="E227" t="str">
        <f>VLOOKUP(SalesTable[[#This Row],[Salesperson ID]],Salespeople!$A$2:$B$16,2,0)</f>
        <v>Liane Cormier</v>
      </c>
      <c r="F227">
        <v>15625</v>
      </c>
      <c r="G227" t="s">
        <v>203</v>
      </c>
      <c r="H227" t="s">
        <v>63</v>
      </c>
      <c r="I227" t="s">
        <v>70</v>
      </c>
      <c r="J227" t="str">
        <f>INDEX(Products!$A$2:$C$14,MATCH(SalesTable[[#This Row],[Product ID]],Products!$C$2:$C$14,0),2)</f>
        <v>Strawberry summer soap</v>
      </c>
      <c r="K227" s="4">
        <v>5.95</v>
      </c>
      <c r="L227" s="8">
        <v>7</v>
      </c>
      <c r="M227" s="10">
        <f t="shared" si="9"/>
        <v>41.65</v>
      </c>
      <c r="N227">
        <v>1</v>
      </c>
      <c r="O227" s="3"/>
      <c r="P227" s="2"/>
      <c r="Q227" s="10">
        <f t="shared" si="10"/>
        <v>41.65</v>
      </c>
    </row>
    <row r="228" spans="1:17" x14ac:dyDescent="0.45">
      <c r="A228">
        <v>227</v>
      </c>
      <c r="B228" s="3">
        <v>44805</v>
      </c>
      <c r="C228" s="44">
        <f t="shared" si="11"/>
        <v>44805</v>
      </c>
      <c r="D228">
        <v>6143</v>
      </c>
      <c r="E228" t="str">
        <f>VLOOKUP(SalesTable[[#This Row],[Salesperson ID]],Salespeople!$A$2:$B$16,2,0)</f>
        <v>Liane Cormier</v>
      </c>
      <c r="F228">
        <v>19842</v>
      </c>
      <c r="G228" t="s">
        <v>198</v>
      </c>
      <c r="H228" t="s">
        <v>96</v>
      </c>
      <c r="I228" t="s">
        <v>59</v>
      </c>
      <c r="J228" t="str">
        <f>INDEX(Products!$A$2:$C$14,MATCH(SalesTable[[#This Row],[Product ID]],Products!$C$2:$C$14,0),2)</f>
        <v>Wildflower honey</v>
      </c>
      <c r="K228" s="4">
        <v>9</v>
      </c>
      <c r="L228" s="8">
        <v>1</v>
      </c>
      <c r="M228" s="10">
        <f t="shared" si="9"/>
        <v>9</v>
      </c>
      <c r="N228">
        <v>3</v>
      </c>
      <c r="O228" s="3"/>
      <c r="P228" s="2"/>
      <c r="Q228" s="10">
        <f t="shared" si="10"/>
        <v>9</v>
      </c>
    </row>
    <row r="229" spans="1:17" x14ac:dyDescent="0.45">
      <c r="A229">
        <v>228</v>
      </c>
      <c r="B229" s="3">
        <v>44805</v>
      </c>
      <c r="C229" s="44">
        <f t="shared" si="11"/>
        <v>44805</v>
      </c>
      <c r="D229">
        <v>6250</v>
      </c>
      <c r="E229" t="str">
        <f>VLOOKUP(SalesTable[[#This Row],[Salesperson ID]],Salespeople!$A$2:$B$16,2,0)</f>
        <v>Hu Lin</v>
      </c>
      <c r="F229">
        <v>21914</v>
      </c>
      <c r="G229" t="s">
        <v>202</v>
      </c>
      <c r="H229" t="s">
        <v>51</v>
      </c>
      <c r="I229" t="s">
        <v>82</v>
      </c>
      <c r="J229" t="str">
        <f>INDEX(Products!$A$2:$C$14,MATCH(SalesTable[[#This Row],[Product ID]],Products!$C$2:$C$14,0),2)</f>
        <v>Oatmeal hand and body lotion</v>
      </c>
      <c r="K229" s="4">
        <v>12</v>
      </c>
      <c r="L229" s="8">
        <v>10</v>
      </c>
      <c r="M229" s="10">
        <f t="shared" si="9"/>
        <v>120</v>
      </c>
      <c r="N229">
        <v>2</v>
      </c>
      <c r="O229" s="3"/>
      <c r="P229" s="2"/>
      <c r="Q229" s="10">
        <f t="shared" si="10"/>
        <v>120</v>
      </c>
    </row>
    <row r="230" spans="1:17" x14ac:dyDescent="0.45">
      <c r="A230">
        <v>229</v>
      </c>
      <c r="B230" s="3">
        <v>44805</v>
      </c>
      <c r="C230" s="44">
        <f t="shared" si="11"/>
        <v>44805</v>
      </c>
      <c r="D230">
        <v>6357</v>
      </c>
      <c r="E230" t="str">
        <f>VLOOKUP(SalesTable[[#This Row],[Salesperson ID]],Salespeople!$A$2:$B$16,2,0)</f>
        <v>Johnny Bear</v>
      </c>
      <c r="F230">
        <v>23133</v>
      </c>
      <c r="G230" t="s">
        <v>191</v>
      </c>
      <c r="H230" t="s">
        <v>41</v>
      </c>
      <c r="I230" t="s">
        <v>61</v>
      </c>
      <c r="J230" t="str">
        <f>INDEX(Products!$A$2:$C$14,MATCH(SalesTable[[#This Row],[Product ID]],Products!$C$2:$C$14,0),2)</f>
        <v>Buckwheat honey</v>
      </c>
      <c r="K230" s="4">
        <v>9</v>
      </c>
      <c r="L230" s="8">
        <v>7</v>
      </c>
      <c r="M230" s="10">
        <f t="shared" si="9"/>
        <v>63</v>
      </c>
      <c r="N230">
        <v>2</v>
      </c>
      <c r="O230" s="3"/>
      <c r="P230" s="2"/>
      <c r="Q230" s="10">
        <f t="shared" si="10"/>
        <v>63</v>
      </c>
    </row>
    <row r="231" spans="1:17" x14ac:dyDescent="0.45">
      <c r="A231">
        <v>230</v>
      </c>
      <c r="B231" s="3">
        <v>44806</v>
      </c>
      <c r="C231" s="44">
        <f t="shared" si="11"/>
        <v>44806</v>
      </c>
      <c r="D231">
        <v>1384</v>
      </c>
      <c r="E231" t="str">
        <f>VLOOKUP(SalesTable[[#This Row],[Salesperson ID]],Salespeople!$A$2:$B$16,2,0)</f>
        <v>Igor Almeida</v>
      </c>
      <c r="F231">
        <v>22829</v>
      </c>
      <c r="G231" t="s">
        <v>171</v>
      </c>
      <c r="H231" t="s">
        <v>38</v>
      </c>
      <c r="I231" t="s">
        <v>61</v>
      </c>
      <c r="J231" t="str">
        <f>INDEX(Products!$A$2:$C$14,MATCH(SalesTable[[#This Row],[Product ID]],Products!$C$2:$C$14,0),2)</f>
        <v>Buckwheat honey</v>
      </c>
      <c r="K231" s="4">
        <v>9</v>
      </c>
      <c r="L231" s="8">
        <v>10</v>
      </c>
      <c r="M231" s="10">
        <f t="shared" si="9"/>
        <v>90</v>
      </c>
      <c r="N231">
        <v>3</v>
      </c>
      <c r="O231" s="3"/>
      <c r="P231" s="2"/>
      <c r="Q231" s="10">
        <f t="shared" si="10"/>
        <v>90</v>
      </c>
    </row>
    <row r="232" spans="1:17" x14ac:dyDescent="0.45">
      <c r="A232">
        <v>231</v>
      </c>
      <c r="B232" s="3">
        <v>44806</v>
      </c>
      <c r="C232" s="44">
        <f t="shared" si="11"/>
        <v>44806</v>
      </c>
      <c r="D232">
        <v>6143</v>
      </c>
      <c r="E232" t="str">
        <f>VLOOKUP(SalesTable[[#This Row],[Salesperson ID]],Salespeople!$A$2:$B$16,2,0)</f>
        <v>Liane Cormier</v>
      </c>
      <c r="F232">
        <v>24302</v>
      </c>
      <c r="G232" t="s">
        <v>178</v>
      </c>
      <c r="H232" t="s">
        <v>43</v>
      </c>
      <c r="I232" t="s">
        <v>64</v>
      </c>
      <c r="J232" t="str">
        <f>INDEX(Products!$A$2:$C$14,MATCH(SalesTable[[#This Row],[Product ID]],Products!$C$2:$C$14,0),2)</f>
        <v>Oatmeal soap</v>
      </c>
      <c r="K232" s="4">
        <v>5.95</v>
      </c>
      <c r="L232" s="8">
        <v>7</v>
      </c>
      <c r="M232" s="10">
        <f t="shared" si="9"/>
        <v>41.65</v>
      </c>
      <c r="N232">
        <v>2</v>
      </c>
      <c r="O232" s="3"/>
      <c r="P232" s="2"/>
      <c r="Q232" s="10">
        <f t="shared" si="10"/>
        <v>41.65</v>
      </c>
    </row>
    <row r="233" spans="1:17" x14ac:dyDescent="0.45">
      <c r="A233">
        <v>232</v>
      </c>
      <c r="B233" s="3">
        <v>44806</v>
      </c>
      <c r="C233" s="44">
        <f t="shared" si="11"/>
        <v>44806</v>
      </c>
      <c r="D233">
        <v>6571</v>
      </c>
      <c r="E233" t="str">
        <f>VLOOKUP(SalesTable[[#This Row],[Salesperson ID]],Salespeople!$A$2:$B$16,2,0)</f>
        <v>Iker Dominguez</v>
      </c>
      <c r="F233">
        <v>13122</v>
      </c>
      <c r="G233" t="s">
        <v>184</v>
      </c>
      <c r="H233" t="s">
        <v>145</v>
      </c>
      <c r="I233" t="s">
        <v>99</v>
      </c>
      <c r="J233" t="str">
        <f>INDEX(Products!$A$2:$C$14,MATCH(SalesTable[[#This Row],[Product ID]],Products!$C$2:$C$14,0),2)</f>
        <v>Goat milk hand and body lotion</v>
      </c>
      <c r="K233" s="4">
        <v>12</v>
      </c>
      <c r="L233" s="8">
        <v>9</v>
      </c>
      <c r="M233" s="10">
        <f t="shared" si="9"/>
        <v>108</v>
      </c>
      <c r="N233">
        <v>2</v>
      </c>
      <c r="O233" s="3"/>
      <c r="P233" s="2"/>
      <c r="Q233" s="10">
        <f t="shared" si="10"/>
        <v>108</v>
      </c>
    </row>
    <row r="234" spans="1:17" x14ac:dyDescent="0.45">
      <c r="A234">
        <v>233</v>
      </c>
      <c r="B234" s="3">
        <v>44806</v>
      </c>
      <c r="C234" s="44">
        <f t="shared" si="11"/>
        <v>44806</v>
      </c>
      <c r="D234">
        <v>1384</v>
      </c>
      <c r="E234" t="str">
        <f>VLOOKUP(SalesTable[[#This Row],[Salesperson ID]],Salespeople!$A$2:$B$16,2,0)</f>
        <v>Igor Almeida</v>
      </c>
      <c r="F234">
        <v>27850</v>
      </c>
      <c r="G234" t="s">
        <v>173</v>
      </c>
      <c r="H234" t="s">
        <v>38</v>
      </c>
      <c r="I234" t="s">
        <v>70</v>
      </c>
      <c r="J234" t="str">
        <f>INDEX(Products!$A$2:$C$14,MATCH(SalesTable[[#This Row],[Product ID]],Products!$C$2:$C$14,0),2)</f>
        <v>Strawberry summer soap</v>
      </c>
      <c r="K234" s="4">
        <v>5.95</v>
      </c>
      <c r="L234" s="8">
        <v>2</v>
      </c>
      <c r="M234" s="10">
        <f t="shared" si="9"/>
        <v>11.9</v>
      </c>
      <c r="N234">
        <v>0</v>
      </c>
      <c r="O234" s="3"/>
      <c r="P234" s="2"/>
      <c r="Q234" s="10">
        <f t="shared" si="10"/>
        <v>11.9</v>
      </c>
    </row>
    <row r="235" spans="1:17" x14ac:dyDescent="0.45">
      <c r="A235">
        <v>234</v>
      </c>
      <c r="B235" s="3">
        <v>44806</v>
      </c>
      <c r="C235" s="44">
        <f t="shared" si="11"/>
        <v>44806</v>
      </c>
      <c r="D235">
        <v>5382</v>
      </c>
      <c r="E235" t="str">
        <f>VLOOKUP(SalesTable[[#This Row],[Salesperson ID]],Salespeople!$A$2:$B$16,2,0)</f>
        <v>Diya Nueimat</v>
      </c>
      <c r="F235">
        <v>14501</v>
      </c>
      <c r="G235" t="s">
        <v>204</v>
      </c>
      <c r="H235" t="s">
        <v>145</v>
      </c>
      <c r="I235" t="s">
        <v>70</v>
      </c>
      <c r="J235" t="str">
        <f>INDEX(Products!$A$2:$C$14,MATCH(SalesTable[[#This Row],[Product ID]],Products!$C$2:$C$14,0),2)</f>
        <v>Strawberry summer soap</v>
      </c>
      <c r="K235" s="4">
        <v>5.95</v>
      </c>
      <c r="L235" s="8">
        <v>4</v>
      </c>
      <c r="M235" s="10">
        <f t="shared" si="9"/>
        <v>23.8</v>
      </c>
      <c r="N235">
        <v>1</v>
      </c>
      <c r="O235" s="3"/>
      <c r="P235" s="2"/>
      <c r="Q235" s="10">
        <f t="shared" si="10"/>
        <v>23.8</v>
      </c>
    </row>
    <row r="236" spans="1:17" x14ac:dyDescent="0.45">
      <c r="A236">
        <v>235</v>
      </c>
      <c r="B236" s="3">
        <v>44807</v>
      </c>
      <c r="C236" s="44">
        <f t="shared" si="11"/>
        <v>44807</v>
      </c>
      <c r="D236">
        <v>6892</v>
      </c>
      <c r="E236" t="str">
        <f>VLOOKUP(SalesTable[[#This Row],[Salesperson ID]],Salespeople!$A$2:$B$16,2,0)</f>
        <v>Fahd Sleiman</v>
      </c>
      <c r="F236">
        <v>23448</v>
      </c>
      <c r="G236" t="s">
        <v>193</v>
      </c>
      <c r="H236" t="s">
        <v>56</v>
      </c>
      <c r="I236" t="s">
        <v>68</v>
      </c>
      <c r="J236" t="str">
        <f>INDEX(Products!$A$2:$C$14,MATCH(SalesTable[[#This Row],[Product ID]],Products!$C$2:$C$14,0),2)</f>
        <v>Mixed berry jam</v>
      </c>
      <c r="K236" s="4">
        <v>7.5</v>
      </c>
      <c r="L236" s="8">
        <v>2</v>
      </c>
      <c r="M236" s="10">
        <f t="shared" si="9"/>
        <v>15</v>
      </c>
      <c r="N236">
        <v>3</v>
      </c>
      <c r="O236" s="3"/>
      <c r="P236" s="2"/>
      <c r="Q236" s="10">
        <f t="shared" si="10"/>
        <v>15</v>
      </c>
    </row>
    <row r="237" spans="1:17" x14ac:dyDescent="0.45">
      <c r="A237">
        <v>236</v>
      </c>
      <c r="B237" s="3">
        <v>44807</v>
      </c>
      <c r="C237" s="44">
        <f t="shared" si="11"/>
        <v>44807</v>
      </c>
      <c r="D237">
        <v>6464</v>
      </c>
      <c r="E237" t="str">
        <f>VLOOKUP(SalesTable[[#This Row],[Salesperson ID]],Salespeople!$A$2:$B$16,2,0)</f>
        <v>Hamal Azzi</v>
      </c>
      <c r="F237">
        <v>15353</v>
      </c>
      <c r="G237" t="s">
        <v>58</v>
      </c>
      <c r="H237" t="s">
        <v>38</v>
      </c>
      <c r="I237" t="s">
        <v>57</v>
      </c>
      <c r="J237" t="str">
        <f>INDEX(Products!$A$2:$C$14,MATCH(SalesTable[[#This Row],[Product ID]],Products!$C$2:$C$14,0),2)</f>
        <v>Clover honey</v>
      </c>
      <c r="K237" s="4">
        <v>9</v>
      </c>
      <c r="L237" s="8">
        <v>4</v>
      </c>
      <c r="M237" s="10">
        <f t="shared" si="9"/>
        <v>36</v>
      </c>
      <c r="N237">
        <v>1</v>
      </c>
      <c r="O237" s="3"/>
      <c r="P237" s="2"/>
      <c r="Q237" s="10">
        <f t="shared" si="10"/>
        <v>36</v>
      </c>
    </row>
    <row r="238" spans="1:17" x14ac:dyDescent="0.45">
      <c r="A238">
        <v>237</v>
      </c>
      <c r="B238" s="3">
        <v>44807</v>
      </c>
      <c r="C238" s="44">
        <f t="shared" si="11"/>
        <v>44807</v>
      </c>
      <c r="D238">
        <v>6678</v>
      </c>
      <c r="E238" t="str">
        <f>VLOOKUP(SalesTable[[#This Row],[Salesperson ID]],Salespeople!$A$2:$B$16,2,0)</f>
        <v>Amalia Ribeiro</v>
      </c>
      <c r="F238">
        <v>23687</v>
      </c>
      <c r="G238" t="s">
        <v>182</v>
      </c>
      <c r="H238" t="s">
        <v>78</v>
      </c>
      <c r="I238" t="s">
        <v>36</v>
      </c>
      <c r="J238" t="str">
        <f>INDEX(Products!$A$2:$C$14,MATCH(SalesTable[[#This Row],[Product ID]],Products!$C$2:$C$14,0),2)</f>
        <v>Goat milk soap</v>
      </c>
      <c r="K238" s="4">
        <v>5.95</v>
      </c>
      <c r="L238" s="8">
        <v>9</v>
      </c>
      <c r="M238" s="10">
        <f t="shared" si="9"/>
        <v>53.550000000000004</v>
      </c>
      <c r="N238">
        <v>2</v>
      </c>
      <c r="O238" s="3"/>
      <c r="P238" s="2"/>
      <c r="Q238" s="10">
        <f t="shared" si="10"/>
        <v>53.550000000000004</v>
      </c>
    </row>
    <row r="239" spans="1:17" x14ac:dyDescent="0.45">
      <c r="A239">
        <v>238</v>
      </c>
      <c r="B239" s="3">
        <v>44809</v>
      </c>
      <c r="C239" s="44">
        <f t="shared" si="11"/>
        <v>44809</v>
      </c>
      <c r="D239">
        <v>6571</v>
      </c>
      <c r="E239" t="str">
        <f>VLOOKUP(SalesTable[[#This Row],[Salesperson ID]],Salespeople!$A$2:$B$16,2,0)</f>
        <v>Iker Dominguez</v>
      </c>
      <c r="F239">
        <v>17717</v>
      </c>
      <c r="G239" t="s">
        <v>55</v>
      </c>
      <c r="H239" t="s">
        <v>56</v>
      </c>
      <c r="I239" t="s">
        <v>36</v>
      </c>
      <c r="J239" t="str">
        <f>INDEX(Products!$A$2:$C$14,MATCH(SalesTable[[#This Row],[Product ID]],Products!$C$2:$C$14,0),2)</f>
        <v>Goat milk soap</v>
      </c>
      <c r="K239" s="4">
        <v>5.95</v>
      </c>
      <c r="L239" s="8">
        <v>7</v>
      </c>
      <c r="M239" s="10">
        <f t="shared" si="9"/>
        <v>41.65</v>
      </c>
      <c r="N239">
        <v>3</v>
      </c>
      <c r="O239" s="3"/>
      <c r="P239" s="2"/>
      <c r="Q239" s="10">
        <f t="shared" si="10"/>
        <v>41.65</v>
      </c>
    </row>
    <row r="240" spans="1:17" x14ac:dyDescent="0.45">
      <c r="A240">
        <v>239</v>
      </c>
      <c r="B240" s="3">
        <v>44810</v>
      </c>
      <c r="C240" s="44">
        <f t="shared" si="11"/>
        <v>44810</v>
      </c>
      <c r="D240">
        <v>5400</v>
      </c>
      <c r="E240" t="str">
        <f>VLOOKUP(SalesTable[[#This Row],[Salesperson ID]],Salespeople!$A$2:$B$16,2,0)</f>
        <v>Maisha Karzai</v>
      </c>
      <c r="F240">
        <v>16088</v>
      </c>
      <c r="G240" t="s">
        <v>205</v>
      </c>
      <c r="H240" t="s">
        <v>51</v>
      </c>
      <c r="I240" t="s">
        <v>47</v>
      </c>
      <c r="J240" t="str">
        <f>INDEX(Products!$A$2:$C$14,MATCH(SalesTable[[#This Row],[Product ID]],Products!$C$2:$C$14,0),2)</f>
        <v>Mixed berry jelly</v>
      </c>
      <c r="K240" s="4">
        <v>7.5</v>
      </c>
      <c r="L240" s="8">
        <v>9</v>
      </c>
      <c r="M240" s="10">
        <f t="shared" si="9"/>
        <v>67.5</v>
      </c>
      <c r="N240">
        <v>1</v>
      </c>
      <c r="O240" s="3"/>
      <c r="P240" s="2"/>
      <c r="Q240" s="10">
        <f t="shared" si="10"/>
        <v>67.5</v>
      </c>
    </row>
    <row r="241" spans="1:17" x14ac:dyDescent="0.45">
      <c r="A241">
        <v>240</v>
      </c>
      <c r="B241" s="3">
        <v>44810</v>
      </c>
      <c r="C241" s="44">
        <f t="shared" si="11"/>
        <v>44810</v>
      </c>
      <c r="D241">
        <v>5346</v>
      </c>
      <c r="E241" t="str">
        <f>VLOOKUP(SalesTable[[#This Row],[Salesperson ID]],Salespeople!$A$2:$B$16,2,0)</f>
        <v>Sergio Galvez</v>
      </c>
      <c r="F241">
        <v>12504</v>
      </c>
      <c r="G241" t="s">
        <v>197</v>
      </c>
      <c r="H241" t="s">
        <v>56</v>
      </c>
      <c r="I241" t="s">
        <v>57</v>
      </c>
      <c r="J241" t="str">
        <f>INDEX(Products!$A$2:$C$14,MATCH(SalesTable[[#This Row],[Product ID]],Products!$C$2:$C$14,0),2)</f>
        <v>Clover honey</v>
      </c>
      <c r="K241" s="4">
        <v>9</v>
      </c>
      <c r="L241" s="8">
        <v>7</v>
      </c>
      <c r="M241" s="10">
        <f t="shared" si="9"/>
        <v>63</v>
      </c>
      <c r="N241">
        <v>2</v>
      </c>
      <c r="O241" s="3"/>
      <c r="P241" s="2"/>
      <c r="Q241" s="10">
        <f t="shared" si="10"/>
        <v>63</v>
      </c>
    </row>
    <row r="242" spans="1:17" x14ac:dyDescent="0.45">
      <c r="A242">
        <v>241</v>
      </c>
      <c r="B242" s="3">
        <v>44811</v>
      </c>
      <c r="C242" s="44">
        <f t="shared" si="11"/>
        <v>44811</v>
      </c>
      <c r="D242">
        <v>8064</v>
      </c>
      <c r="E242" t="str">
        <f>VLOOKUP(SalesTable[[#This Row],[Salesperson ID]],Salespeople!$A$2:$B$16,2,0)</f>
        <v>Amal Salazar</v>
      </c>
      <c r="F242">
        <v>15868</v>
      </c>
      <c r="G242" t="s">
        <v>175</v>
      </c>
      <c r="H242" t="s">
        <v>88</v>
      </c>
      <c r="I242" t="s">
        <v>47</v>
      </c>
      <c r="J242" t="str">
        <f>INDEX(Products!$A$2:$C$14,MATCH(SalesTable[[#This Row],[Product ID]],Products!$C$2:$C$14,0),2)</f>
        <v>Mixed berry jelly</v>
      </c>
      <c r="K242" s="4">
        <v>7.5</v>
      </c>
      <c r="L242" s="8">
        <v>9</v>
      </c>
      <c r="M242" s="10">
        <f t="shared" si="9"/>
        <v>67.5</v>
      </c>
      <c r="N242">
        <v>3</v>
      </c>
      <c r="O242" s="3"/>
      <c r="P242" s="2"/>
      <c r="Q242" s="10">
        <f t="shared" si="10"/>
        <v>67.5</v>
      </c>
    </row>
    <row r="243" spans="1:17" x14ac:dyDescent="0.45">
      <c r="A243">
        <v>242</v>
      </c>
      <c r="B243" s="3">
        <v>44812</v>
      </c>
      <c r="C243" s="44">
        <f t="shared" si="11"/>
        <v>44812</v>
      </c>
      <c r="D243">
        <v>5400</v>
      </c>
      <c r="E243" t="str">
        <f>VLOOKUP(SalesTable[[#This Row],[Salesperson ID]],Salespeople!$A$2:$B$16,2,0)</f>
        <v>Maisha Karzai</v>
      </c>
      <c r="F243">
        <v>19063</v>
      </c>
      <c r="G243" t="s">
        <v>206</v>
      </c>
      <c r="H243" t="s">
        <v>41</v>
      </c>
      <c r="I243" t="s">
        <v>59</v>
      </c>
      <c r="J243" t="str">
        <f>INDEX(Products!$A$2:$C$14,MATCH(SalesTable[[#This Row],[Product ID]],Products!$C$2:$C$14,0),2)</f>
        <v>Wildflower honey</v>
      </c>
      <c r="K243" s="4">
        <v>9</v>
      </c>
      <c r="L243" s="8">
        <v>10</v>
      </c>
      <c r="M243" s="10">
        <f t="shared" si="9"/>
        <v>90</v>
      </c>
      <c r="N243">
        <v>1</v>
      </c>
      <c r="O243" s="3"/>
      <c r="P243" s="2"/>
      <c r="Q243" s="10">
        <f t="shared" si="10"/>
        <v>90</v>
      </c>
    </row>
    <row r="244" spans="1:17" x14ac:dyDescent="0.45">
      <c r="A244">
        <v>243</v>
      </c>
      <c r="B244" s="3">
        <v>44812</v>
      </c>
      <c r="C244" s="44">
        <f t="shared" si="11"/>
        <v>44812</v>
      </c>
      <c r="D244">
        <v>6678</v>
      </c>
      <c r="E244" t="str">
        <f>VLOOKUP(SalesTable[[#This Row],[Salesperson ID]],Salespeople!$A$2:$B$16,2,0)</f>
        <v>Amalia Ribeiro</v>
      </c>
      <c r="F244">
        <v>18265</v>
      </c>
      <c r="G244" t="s">
        <v>129</v>
      </c>
      <c r="H244" t="s">
        <v>51</v>
      </c>
      <c r="I244" t="s">
        <v>64</v>
      </c>
      <c r="J244" t="str">
        <f>INDEX(Products!$A$2:$C$14,MATCH(SalesTable[[#This Row],[Product ID]],Products!$C$2:$C$14,0),2)</f>
        <v>Oatmeal soap</v>
      </c>
      <c r="K244" s="4">
        <v>5.95</v>
      </c>
      <c r="L244" s="8">
        <v>4</v>
      </c>
      <c r="M244" s="10">
        <f t="shared" si="9"/>
        <v>23.8</v>
      </c>
      <c r="N244">
        <v>2</v>
      </c>
      <c r="O244" s="3"/>
      <c r="P244" s="2"/>
      <c r="Q244" s="10">
        <f t="shared" si="10"/>
        <v>23.8</v>
      </c>
    </row>
    <row r="245" spans="1:17" x14ac:dyDescent="0.45">
      <c r="A245">
        <v>244</v>
      </c>
      <c r="B245" s="3">
        <v>44812</v>
      </c>
      <c r="C245" s="44">
        <f t="shared" si="11"/>
        <v>44812</v>
      </c>
      <c r="D245">
        <v>5454</v>
      </c>
      <c r="E245" t="str">
        <f>VLOOKUP(SalesTable[[#This Row],[Salesperson ID]],Salespeople!$A$2:$B$16,2,0)</f>
        <v>Anna Cunha</v>
      </c>
      <c r="F245">
        <v>10550</v>
      </c>
      <c r="G245" t="s">
        <v>155</v>
      </c>
      <c r="H245" t="s">
        <v>145</v>
      </c>
      <c r="I245" t="s">
        <v>47</v>
      </c>
      <c r="J245" t="str">
        <f>INDEX(Products!$A$2:$C$14,MATCH(SalesTable[[#This Row],[Product ID]],Products!$C$2:$C$14,0),2)</f>
        <v>Mixed berry jelly</v>
      </c>
      <c r="K245" s="4">
        <v>7.5</v>
      </c>
      <c r="L245" s="8">
        <v>2</v>
      </c>
      <c r="M245" s="10">
        <f t="shared" si="9"/>
        <v>15</v>
      </c>
      <c r="N245">
        <v>2</v>
      </c>
      <c r="O245" s="3"/>
      <c r="P245" s="2"/>
      <c r="Q245" s="10">
        <f t="shared" si="10"/>
        <v>15</v>
      </c>
    </row>
    <row r="246" spans="1:17" x14ac:dyDescent="0.45">
      <c r="A246">
        <v>245</v>
      </c>
      <c r="B246" s="3">
        <v>44813</v>
      </c>
      <c r="C246" s="44">
        <f t="shared" si="11"/>
        <v>44813</v>
      </c>
      <c r="D246">
        <v>8064</v>
      </c>
      <c r="E246" t="str">
        <f>VLOOKUP(SalesTable[[#This Row],[Salesperson ID]],Salespeople!$A$2:$B$16,2,0)</f>
        <v>Amal Salazar</v>
      </c>
      <c r="F246">
        <v>17972</v>
      </c>
      <c r="G246" t="s">
        <v>148</v>
      </c>
      <c r="H246" t="s">
        <v>56</v>
      </c>
      <c r="I246" t="s">
        <v>70</v>
      </c>
      <c r="J246" t="str">
        <f>INDEX(Products!$A$2:$C$14,MATCH(SalesTable[[#This Row],[Product ID]],Products!$C$2:$C$14,0),2)</f>
        <v>Strawberry summer soap</v>
      </c>
      <c r="K246" s="4">
        <v>5.95</v>
      </c>
      <c r="L246" s="8">
        <v>10</v>
      </c>
      <c r="M246" s="10">
        <f t="shared" si="9"/>
        <v>59.5</v>
      </c>
      <c r="N246">
        <v>2</v>
      </c>
      <c r="O246" s="3"/>
      <c r="P246" s="2"/>
      <c r="Q246" s="10">
        <f t="shared" si="10"/>
        <v>59.5</v>
      </c>
    </row>
    <row r="247" spans="1:17" x14ac:dyDescent="0.45">
      <c r="A247">
        <v>246</v>
      </c>
      <c r="B247" s="3">
        <v>44813</v>
      </c>
      <c r="C247" s="44">
        <f t="shared" si="11"/>
        <v>44813</v>
      </c>
      <c r="D247">
        <v>4350</v>
      </c>
      <c r="E247" t="str">
        <f>VLOOKUP(SalesTable[[#This Row],[Salesperson ID]],Salespeople!$A$2:$B$16,2,0)</f>
        <v>Mukhtar Masih</v>
      </c>
      <c r="F247">
        <v>19737</v>
      </c>
      <c r="G247" t="s">
        <v>200</v>
      </c>
      <c r="H247" t="s">
        <v>96</v>
      </c>
      <c r="I247" t="s">
        <v>52</v>
      </c>
      <c r="J247" t="str">
        <f>INDEX(Products!$A$2:$C$14,MATCH(SalesTable[[#This Row],[Product ID]],Products!$C$2:$C$14,0),2)</f>
        <v>Strawberry jam</v>
      </c>
      <c r="K247" s="4">
        <v>7.5</v>
      </c>
      <c r="L247" s="8">
        <v>6</v>
      </c>
      <c r="M247" s="10">
        <f t="shared" si="9"/>
        <v>45</v>
      </c>
      <c r="N247">
        <v>0</v>
      </c>
      <c r="O247" s="3"/>
      <c r="P247" s="2"/>
      <c r="Q247" s="10">
        <f t="shared" si="10"/>
        <v>45</v>
      </c>
    </row>
    <row r="248" spans="1:17" x14ac:dyDescent="0.45">
      <c r="A248">
        <v>247</v>
      </c>
      <c r="B248" s="3">
        <v>44813</v>
      </c>
      <c r="C248" s="44">
        <f t="shared" si="11"/>
        <v>44813</v>
      </c>
      <c r="D248">
        <v>8064</v>
      </c>
      <c r="E248" t="str">
        <f>VLOOKUP(SalesTable[[#This Row],[Salesperson ID]],Salespeople!$A$2:$B$16,2,0)</f>
        <v>Amal Salazar</v>
      </c>
      <c r="F248">
        <v>10553</v>
      </c>
      <c r="G248" t="s">
        <v>207</v>
      </c>
      <c r="H248" t="s">
        <v>49</v>
      </c>
      <c r="I248" t="s">
        <v>99</v>
      </c>
      <c r="J248" t="str">
        <f>INDEX(Products!$A$2:$C$14,MATCH(SalesTable[[#This Row],[Product ID]],Products!$C$2:$C$14,0),2)</f>
        <v>Goat milk hand and body lotion</v>
      </c>
      <c r="K248" s="4">
        <v>12</v>
      </c>
      <c r="L248" s="8">
        <v>10</v>
      </c>
      <c r="M248" s="10">
        <f t="shared" si="9"/>
        <v>120</v>
      </c>
      <c r="N248">
        <v>0</v>
      </c>
      <c r="O248" s="3"/>
      <c r="P248" s="2"/>
      <c r="Q248" s="10">
        <f t="shared" si="10"/>
        <v>120</v>
      </c>
    </row>
    <row r="249" spans="1:17" x14ac:dyDescent="0.45">
      <c r="A249">
        <v>248</v>
      </c>
      <c r="B249" s="3">
        <v>44813</v>
      </c>
      <c r="C249" s="44">
        <f t="shared" si="11"/>
        <v>44813</v>
      </c>
      <c r="D249">
        <v>6464</v>
      </c>
      <c r="E249" t="str">
        <f>VLOOKUP(SalesTable[[#This Row],[Salesperson ID]],Salespeople!$A$2:$B$16,2,0)</f>
        <v>Hamal Azzi</v>
      </c>
      <c r="F249">
        <v>22597</v>
      </c>
      <c r="G249" t="s">
        <v>201</v>
      </c>
      <c r="H249" t="s">
        <v>54</v>
      </c>
      <c r="I249" t="s">
        <v>99</v>
      </c>
      <c r="J249" t="str">
        <f>INDEX(Products!$A$2:$C$14,MATCH(SalesTable[[#This Row],[Product ID]],Products!$C$2:$C$14,0),2)</f>
        <v>Goat milk hand and body lotion</v>
      </c>
      <c r="K249" s="4">
        <v>12</v>
      </c>
      <c r="L249" s="8">
        <v>1</v>
      </c>
      <c r="M249" s="10">
        <f t="shared" si="9"/>
        <v>12</v>
      </c>
      <c r="N249">
        <v>2</v>
      </c>
      <c r="O249" s="3"/>
      <c r="P249" s="2"/>
      <c r="Q249" s="10">
        <f t="shared" si="10"/>
        <v>12</v>
      </c>
    </row>
    <row r="250" spans="1:17" x14ac:dyDescent="0.45">
      <c r="A250">
        <v>249</v>
      </c>
      <c r="B250" s="3">
        <v>44814</v>
      </c>
      <c r="C250" s="44">
        <f t="shared" si="11"/>
        <v>44814</v>
      </c>
      <c r="D250">
        <v>4350</v>
      </c>
      <c r="E250" t="str">
        <f>VLOOKUP(SalesTable[[#This Row],[Salesperson ID]],Salespeople!$A$2:$B$16,2,0)</f>
        <v>Mukhtar Masih</v>
      </c>
      <c r="F250">
        <v>26350</v>
      </c>
      <c r="G250" t="s">
        <v>174</v>
      </c>
      <c r="H250" t="s">
        <v>84</v>
      </c>
      <c r="I250" t="s">
        <v>61</v>
      </c>
      <c r="J250" t="str">
        <f>INDEX(Products!$A$2:$C$14,MATCH(SalesTable[[#This Row],[Product ID]],Products!$C$2:$C$14,0),2)</f>
        <v>Buckwheat honey</v>
      </c>
      <c r="K250" s="4">
        <v>9</v>
      </c>
      <c r="L250" s="8">
        <v>7</v>
      </c>
      <c r="M250" s="10">
        <f t="shared" si="9"/>
        <v>63</v>
      </c>
      <c r="N250">
        <v>0</v>
      </c>
      <c r="O250" s="3"/>
      <c r="P250" s="2"/>
      <c r="Q250" s="10">
        <f t="shared" si="10"/>
        <v>63</v>
      </c>
    </row>
    <row r="251" spans="1:17" x14ac:dyDescent="0.45">
      <c r="A251">
        <v>250</v>
      </c>
      <c r="B251" s="3">
        <v>44815</v>
      </c>
      <c r="C251" s="44">
        <f t="shared" si="11"/>
        <v>44815</v>
      </c>
      <c r="D251">
        <v>6571</v>
      </c>
      <c r="E251" t="str">
        <f>VLOOKUP(SalesTable[[#This Row],[Salesperson ID]],Salespeople!$A$2:$B$16,2,0)</f>
        <v>Iker Dominguez</v>
      </c>
      <c r="F251">
        <v>12882</v>
      </c>
      <c r="G251" t="s">
        <v>102</v>
      </c>
      <c r="H251" t="s">
        <v>88</v>
      </c>
      <c r="I251" t="s">
        <v>99</v>
      </c>
      <c r="J251" t="str">
        <f>INDEX(Products!$A$2:$C$14,MATCH(SalesTable[[#This Row],[Product ID]],Products!$C$2:$C$14,0),2)</f>
        <v>Goat milk hand and body lotion</v>
      </c>
      <c r="K251" s="4">
        <v>12</v>
      </c>
      <c r="L251" s="8">
        <v>10</v>
      </c>
      <c r="M251" s="10">
        <f t="shared" si="9"/>
        <v>120</v>
      </c>
      <c r="N251">
        <v>3</v>
      </c>
      <c r="O251" s="3"/>
      <c r="P251" s="2"/>
      <c r="Q251" s="10">
        <f t="shared" si="10"/>
        <v>120</v>
      </c>
    </row>
    <row r="252" spans="1:17" x14ac:dyDescent="0.45">
      <c r="A252">
        <v>251</v>
      </c>
      <c r="B252" s="3">
        <v>44815</v>
      </c>
      <c r="C252" s="44">
        <f t="shared" si="11"/>
        <v>44815</v>
      </c>
      <c r="D252">
        <v>6892</v>
      </c>
      <c r="E252" t="str">
        <f>VLOOKUP(SalesTable[[#This Row],[Salesperson ID]],Salespeople!$A$2:$B$16,2,0)</f>
        <v>Fahd Sleiman</v>
      </c>
      <c r="F252">
        <v>23361</v>
      </c>
      <c r="G252" t="s">
        <v>196</v>
      </c>
      <c r="H252" t="s">
        <v>41</v>
      </c>
      <c r="I252" t="s">
        <v>82</v>
      </c>
      <c r="J252" t="str">
        <f>INDEX(Products!$A$2:$C$14,MATCH(SalesTable[[#This Row],[Product ID]],Products!$C$2:$C$14,0),2)</f>
        <v>Oatmeal hand and body lotion</v>
      </c>
      <c r="K252" s="4">
        <v>12</v>
      </c>
      <c r="L252" s="8">
        <v>5</v>
      </c>
      <c r="M252" s="10">
        <f t="shared" si="9"/>
        <v>60</v>
      </c>
      <c r="N252">
        <v>1</v>
      </c>
      <c r="O252" s="3"/>
      <c r="P252" s="2"/>
      <c r="Q252" s="10">
        <f t="shared" si="10"/>
        <v>60</v>
      </c>
    </row>
    <row r="253" spans="1:17" x14ac:dyDescent="0.45">
      <c r="A253">
        <v>252</v>
      </c>
      <c r="B253" s="3">
        <v>44815</v>
      </c>
      <c r="C253" s="44">
        <f t="shared" si="11"/>
        <v>44815</v>
      </c>
      <c r="D253">
        <v>8064</v>
      </c>
      <c r="E253" t="str">
        <f>VLOOKUP(SalesTable[[#This Row],[Salesperson ID]],Salespeople!$A$2:$B$16,2,0)</f>
        <v>Amal Salazar</v>
      </c>
      <c r="F253">
        <v>19063</v>
      </c>
      <c r="G253" t="s">
        <v>206</v>
      </c>
      <c r="H253" t="s">
        <v>41</v>
      </c>
      <c r="I253" t="s">
        <v>61</v>
      </c>
      <c r="J253" t="str">
        <f>INDEX(Products!$A$2:$C$14,MATCH(SalesTable[[#This Row],[Product ID]],Products!$C$2:$C$14,0),2)</f>
        <v>Buckwheat honey</v>
      </c>
      <c r="K253" s="4">
        <v>9</v>
      </c>
      <c r="L253" s="8">
        <v>1</v>
      </c>
      <c r="M253" s="10">
        <f t="shared" si="9"/>
        <v>9</v>
      </c>
      <c r="N253">
        <v>2</v>
      </c>
      <c r="O253" s="3"/>
      <c r="P253" s="2"/>
      <c r="Q253" s="10">
        <f t="shared" si="10"/>
        <v>9</v>
      </c>
    </row>
    <row r="254" spans="1:17" x14ac:dyDescent="0.45">
      <c r="A254">
        <v>253</v>
      </c>
      <c r="B254" s="3">
        <v>44816</v>
      </c>
      <c r="C254" s="44">
        <f t="shared" si="11"/>
        <v>44816</v>
      </c>
      <c r="D254">
        <v>1384</v>
      </c>
      <c r="E254" t="str">
        <f>VLOOKUP(SalesTable[[#This Row],[Salesperson ID]],Salespeople!$A$2:$B$16,2,0)</f>
        <v>Igor Almeida</v>
      </c>
      <c r="F254">
        <v>21321</v>
      </c>
      <c r="G254" t="s">
        <v>161</v>
      </c>
      <c r="H254" t="s">
        <v>78</v>
      </c>
      <c r="I254" t="s">
        <v>59</v>
      </c>
      <c r="J254" t="str">
        <f>INDEX(Products!$A$2:$C$14,MATCH(SalesTable[[#This Row],[Product ID]],Products!$C$2:$C$14,0),2)</f>
        <v>Wildflower honey</v>
      </c>
      <c r="K254" s="4">
        <v>9</v>
      </c>
      <c r="L254" s="8">
        <v>4</v>
      </c>
      <c r="M254" s="10">
        <f t="shared" si="9"/>
        <v>36</v>
      </c>
      <c r="N254">
        <v>3</v>
      </c>
      <c r="O254" s="3"/>
      <c r="P254" s="2"/>
      <c r="Q254" s="10">
        <f t="shared" si="10"/>
        <v>36</v>
      </c>
    </row>
    <row r="255" spans="1:17" x14ac:dyDescent="0.45">
      <c r="A255">
        <v>254</v>
      </c>
      <c r="B255" s="3">
        <v>44816</v>
      </c>
      <c r="C255" s="44">
        <f t="shared" si="11"/>
        <v>44816</v>
      </c>
      <c r="D255">
        <v>6143</v>
      </c>
      <c r="E255" t="str">
        <f>VLOOKUP(SalesTable[[#This Row],[Salesperson ID]],Salespeople!$A$2:$B$16,2,0)</f>
        <v>Liane Cormier</v>
      </c>
      <c r="F255">
        <v>12856</v>
      </c>
      <c r="G255" t="s">
        <v>189</v>
      </c>
      <c r="H255" t="s">
        <v>35</v>
      </c>
      <c r="I255" t="s">
        <v>64</v>
      </c>
      <c r="J255" t="str">
        <f>INDEX(Products!$A$2:$C$14,MATCH(SalesTable[[#This Row],[Product ID]],Products!$C$2:$C$14,0),2)</f>
        <v>Oatmeal soap</v>
      </c>
      <c r="K255" s="4">
        <v>5.95</v>
      </c>
      <c r="L255" s="8">
        <v>1</v>
      </c>
      <c r="M255" s="10">
        <f t="shared" si="9"/>
        <v>5.95</v>
      </c>
      <c r="N255">
        <v>0</v>
      </c>
      <c r="O255" s="3"/>
      <c r="P255" s="2"/>
      <c r="Q255" s="10">
        <f t="shared" si="10"/>
        <v>5.95</v>
      </c>
    </row>
    <row r="256" spans="1:17" x14ac:dyDescent="0.45">
      <c r="A256">
        <v>255</v>
      </c>
      <c r="B256" s="3">
        <v>44816</v>
      </c>
      <c r="C256" s="44">
        <f t="shared" si="11"/>
        <v>44816</v>
      </c>
      <c r="D256">
        <v>6678</v>
      </c>
      <c r="E256" t="str">
        <f>VLOOKUP(SalesTable[[#This Row],[Salesperson ID]],Salespeople!$A$2:$B$16,2,0)</f>
        <v>Amalia Ribeiro</v>
      </c>
      <c r="F256">
        <v>21852</v>
      </c>
      <c r="G256" t="s">
        <v>93</v>
      </c>
      <c r="H256" t="s">
        <v>41</v>
      </c>
      <c r="I256" t="s">
        <v>36</v>
      </c>
      <c r="J256" t="str">
        <f>INDEX(Products!$A$2:$C$14,MATCH(SalesTable[[#This Row],[Product ID]],Products!$C$2:$C$14,0),2)</f>
        <v>Goat milk soap</v>
      </c>
      <c r="K256" s="4">
        <v>5.95</v>
      </c>
      <c r="L256" s="8">
        <v>2</v>
      </c>
      <c r="M256" s="10">
        <f t="shared" si="9"/>
        <v>11.9</v>
      </c>
      <c r="N256">
        <v>1</v>
      </c>
      <c r="O256" s="3"/>
      <c r="P256" s="2"/>
      <c r="Q256" s="10">
        <f t="shared" si="10"/>
        <v>11.9</v>
      </c>
    </row>
    <row r="257" spans="1:17" x14ac:dyDescent="0.45">
      <c r="A257">
        <v>256</v>
      </c>
      <c r="B257" s="3">
        <v>44816</v>
      </c>
      <c r="C257" s="44">
        <f t="shared" si="11"/>
        <v>44816</v>
      </c>
      <c r="D257">
        <v>6464</v>
      </c>
      <c r="E257" t="str">
        <f>VLOOKUP(SalesTable[[#This Row],[Salesperson ID]],Salespeople!$A$2:$B$16,2,0)</f>
        <v>Hamal Azzi</v>
      </c>
      <c r="F257">
        <v>23585</v>
      </c>
      <c r="G257" t="s">
        <v>62</v>
      </c>
      <c r="H257" t="s">
        <v>63</v>
      </c>
      <c r="I257" t="s">
        <v>70</v>
      </c>
      <c r="J257" t="str">
        <f>INDEX(Products!$A$2:$C$14,MATCH(SalesTable[[#This Row],[Product ID]],Products!$C$2:$C$14,0),2)</f>
        <v>Strawberry summer soap</v>
      </c>
      <c r="K257" s="4">
        <v>5.95</v>
      </c>
      <c r="L257" s="8">
        <v>6</v>
      </c>
      <c r="M257" s="10">
        <f t="shared" si="9"/>
        <v>35.700000000000003</v>
      </c>
      <c r="N257">
        <v>0</v>
      </c>
      <c r="O257" s="3"/>
      <c r="P257" s="2"/>
      <c r="Q257" s="10">
        <f t="shared" si="10"/>
        <v>35.700000000000003</v>
      </c>
    </row>
    <row r="258" spans="1:17" x14ac:dyDescent="0.45">
      <c r="A258">
        <v>257</v>
      </c>
      <c r="B258" s="3">
        <v>44816</v>
      </c>
      <c r="C258" s="44">
        <f t="shared" si="11"/>
        <v>44816</v>
      </c>
      <c r="D258">
        <v>8064</v>
      </c>
      <c r="E258" t="str">
        <f>VLOOKUP(SalesTable[[#This Row],[Salesperson ID]],Salespeople!$A$2:$B$16,2,0)</f>
        <v>Amal Salazar</v>
      </c>
      <c r="F258">
        <v>21785</v>
      </c>
      <c r="G258" t="s">
        <v>113</v>
      </c>
      <c r="H258" t="s">
        <v>41</v>
      </c>
      <c r="I258" t="s">
        <v>59</v>
      </c>
      <c r="J258" t="str">
        <f>INDEX(Products!$A$2:$C$14,MATCH(SalesTable[[#This Row],[Product ID]],Products!$C$2:$C$14,0),2)</f>
        <v>Wildflower honey</v>
      </c>
      <c r="K258" s="4">
        <v>9</v>
      </c>
      <c r="L258" s="8">
        <v>9</v>
      </c>
      <c r="M258" s="10">
        <f t="shared" ref="M258:M307" si="12">K258*L258</f>
        <v>81</v>
      </c>
      <c r="N258">
        <v>1</v>
      </c>
      <c r="O258" s="3"/>
      <c r="P258" s="2"/>
      <c r="Q258" s="10">
        <f t="shared" ref="Q258:Q307" si="13">M258-M258*P258</f>
        <v>81</v>
      </c>
    </row>
    <row r="259" spans="1:17" x14ac:dyDescent="0.45">
      <c r="A259">
        <v>258</v>
      </c>
      <c r="B259" s="3">
        <v>44817</v>
      </c>
      <c r="C259" s="44">
        <f t="shared" ref="C259:C307" si="14">B259</f>
        <v>44817</v>
      </c>
      <c r="D259">
        <v>5346</v>
      </c>
      <c r="E259" t="str">
        <f>VLOOKUP(SalesTable[[#This Row],[Salesperson ID]],Salespeople!$A$2:$B$16,2,0)</f>
        <v>Sergio Galvez</v>
      </c>
      <c r="F259">
        <v>10523</v>
      </c>
      <c r="G259" t="s">
        <v>149</v>
      </c>
      <c r="H259" t="s">
        <v>38</v>
      </c>
      <c r="I259" t="s">
        <v>57</v>
      </c>
      <c r="J259" t="str">
        <f>INDEX(Products!$A$2:$C$14,MATCH(SalesTable[[#This Row],[Product ID]],Products!$C$2:$C$14,0),2)</f>
        <v>Clover honey</v>
      </c>
      <c r="K259" s="4">
        <v>9</v>
      </c>
      <c r="L259" s="8">
        <v>10</v>
      </c>
      <c r="M259" s="10">
        <f t="shared" si="12"/>
        <v>90</v>
      </c>
      <c r="N259">
        <v>3</v>
      </c>
      <c r="O259" s="3"/>
      <c r="P259" s="2"/>
      <c r="Q259" s="10">
        <f t="shared" si="13"/>
        <v>90</v>
      </c>
    </row>
    <row r="260" spans="1:17" x14ac:dyDescent="0.45">
      <c r="A260">
        <v>259</v>
      </c>
      <c r="B260" s="3">
        <v>44817</v>
      </c>
      <c r="C260" s="44">
        <f t="shared" si="14"/>
        <v>44817</v>
      </c>
      <c r="D260">
        <v>6892</v>
      </c>
      <c r="E260" t="str">
        <f>VLOOKUP(SalesTable[[#This Row],[Salesperson ID]],Salespeople!$A$2:$B$16,2,0)</f>
        <v>Fahd Sleiman</v>
      </c>
      <c r="F260">
        <v>23531</v>
      </c>
      <c r="G260" t="s">
        <v>160</v>
      </c>
      <c r="H260" t="s">
        <v>49</v>
      </c>
      <c r="I260" t="s">
        <v>57</v>
      </c>
      <c r="J260" t="str">
        <f>INDEX(Products!$A$2:$C$14,MATCH(SalesTable[[#This Row],[Product ID]],Products!$C$2:$C$14,0),2)</f>
        <v>Clover honey</v>
      </c>
      <c r="K260" s="4">
        <v>9</v>
      </c>
      <c r="L260" s="8">
        <v>9</v>
      </c>
      <c r="M260" s="10">
        <f t="shared" si="12"/>
        <v>81</v>
      </c>
      <c r="N260">
        <v>3</v>
      </c>
      <c r="O260" s="3"/>
      <c r="P260" s="2"/>
      <c r="Q260" s="10">
        <f t="shared" si="13"/>
        <v>81</v>
      </c>
    </row>
    <row r="261" spans="1:17" x14ac:dyDescent="0.45">
      <c r="A261">
        <v>260</v>
      </c>
      <c r="B261" s="3">
        <v>44818</v>
      </c>
      <c r="C261" s="44">
        <f t="shared" si="14"/>
        <v>44818</v>
      </c>
      <c r="D261">
        <v>4350</v>
      </c>
      <c r="E261" t="str">
        <f>VLOOKUP(SalesTable[[#This Row],[Salesperson ID]],Salespeople!$A$2:$B$16,2,0)</f>
        <v>Mukhtar Masih</v>
      </c>
      <c r="F261">
        <v>21803</v>
      </c>
      <c r="G261" t="s">
        <v>154</v>
      </c>
      <c r="H261" t="s">
        <v>49</v>
      </c>
      <c r="I261" t="s">
        <v>61</v>
      </c>
      <c r="J261" t="str">
        <f>INDEX(Products!$A$2:$C$14,MATCH(SalesTable[[#This Row],[Product ID]],Products!$C$2:$C$14,0),2)</f>
        <v>Buckwheat honey</v>
      </c>
      <c r="K261" s="4">
        <v>9</v>
      </c>
      <c r="L261" s="8">
        <v>6</v>
      </c>
      <c r="M261" s="10">
        <f t="shared" si="12"/>
        <v>54</v>
      </c>
      <c r="N261">
        <v>2</v>
      </c>
      <c r="O261" s="3"/>
      <c r="P261" s="2"/>
      <c r="Q261" s="10">
        <f t="shared" si="13"/>
        <v>54</v>
      </c>
    </row>
    <row r="262" spans="1:17" x14ac:dyDescent="0.45">
      <c r="A262">
        <v>261</v>
      </c>
      <c r="B262" s="3">
        <v>44818</v>
      </c>
      <c r="C262" s="44">
        <f t="shared" si="14"/>
        <v>44818</v>
      </c>
      <c r="D262">
        <v>8064</v>
      </c>
      <c r="E262" t="str">
        <f>VLOOKUP(SalesTable[[#This Row],[Salesperson ID]],Salespeople!$A$2:$B$16,2,0)</f>
        <v>Amal Salazar</v>
      </c>
      <c r="F262">
        <v>10061</v>
      </c>
      <c r="G262" t="s">
        <v>132</v>
      </c>
      <c r="H262" t="s">
        <v>41</v>
      </c>
      <c r="I262" t="s">
        <v>59</v>
      </c>
      <c r="J262" t="str">
        <f>INDEX(Products!$A$2:$C$14,MATCH(SalesTable[[#This Row],[Product ID]],Products!$C$2:$C$14,0),2)</f>
        <v>Wildflower honey</v>
      </c>
      <c r="K262" s="4">
        <v>9</v>
      </c>
      <c r="L262" s="8">
        <v>4</v>
      </c>
      <c r="M262" s="10">
        <f t="shared" si="12"/>
        <v>36</v>
      </c>
      <c r="N262">
        <v>3</v>
      </c>
      <c r="O262" s="3"/>
      <c r="P262" s="2"/>
      <c r="Q262" s="10">
        <f t="shared" si="13"/>
        <v>36</v>
      </c>
    </row>
    <row r="263" spans="1:17" x14ac:dyDescent="0.45">
      <c r="A263">
        <v>262</v>
      </c>
      <c r="B263" s="3">
        <v>44818</v>
      </c>
      <c r="C263" s="44">
        <f t="shared" si="14"/>
        <v>44818</v>
      </c>
      <c r="D263">
        <v>6678</v>
      </c>
      <c r="E263" t="str">
        <f>VLOOKUP(SalesTable[[#This Row],[Salesperson ID]],Salespeople!$A$2:$B$16,2,0)</f>
        <v>Amalia Ribeiro</v>
      </c>
      <c r="F263">
        <v>27538</v>
      </c>
      <c r="G263" t="s">
        <v>37</v>
      </c>
      <c r="H263" t="s">
        <v>38</v>
      </c>
      <c r="I263" t="s">
        <v>99</v>
      </c>
      <c r="J263" t="str">
        <f>INDEX(Products!$A$2:$C$14,MATCH(SalesTable[[#This Row],[Product ID]],Products!$C$2:$C$14,0),2)</f>
        <v>Goat milk hand and body lotion</v>
      </c>
      <c r="K263" s="4">
        <v>12</v>
      </c>
      <c r="L263" s="8">
        <v>2</v>
      </c>
      <c r="M263" s="10">
        <f t="shared" si="12"/>
        <v>24</v>
      </c>
      <c r="N263">
        <v>3</v>
      </c>
      <c r="O263" s="3"/>
      <c r="P263" s="2"/>
      <c r="Q263" s="10">
        <f t="shared" si="13"/>
        <v>24</v>
      </c>
    </row>
    <row r="264" spans="1:17" x14ac:dyDescent="0.45">
      <c r="A264">
        <v>263</v>
      </c>
      <c r="B264" s="3">
        <v>44818</v>
      </c>
      <c r="C264" s="44">
        <f t="shared" si="14"/>
        <v>44818</v>
      </c>
      <c r="D264">
        <v>5418</v>
      </c>
      <c r="E264" t="str">
        <f>VLOOKUP(SalesTable[[#This Row],[Salesperson ID]],Salespeople!$A$2:$B$16,2,0)</f>
        <v>Isabell  Couture</v>
      </c>
      <c r="F264">
        <v>27191</v>
      </c>
      <c r="G264" t="s">
        <v>67</v>
      </c>
      <c r="H264" t="s">
        <v>38</v>
      </c>
      <c r="I264" t="s">
        <v>47</v>
      </c>
      <c r="J264" t="str">
        <f>INDEX(Products!$A$2:$C$14,MATCH(SalesTable[[#This Row],[Product ID]],Products!$C$2:$C$14,0),2)</f>
        <v>Mixed berry jelly</v>
      </c>
      <c r="K264" s="4">
        <v>7.5</v>
      </c>
      <c r="L264" s="8">
        <v>7</v>
      </c>
      <c r="M264" s="10">
        <f t="shared" si="12"/>
        <v>52.5</v>
      </c>
      <c r="N264">
        <v>1</v>
      </c>
      <c r="O264" s="3"/>
      <c r="P264" s="2"/>
      <c r="Q264" s="10">
        <f t="shared" si="13"/>
        <v>52.5</v>
      </c>
    </row>
    <row r="265" spans="1:17" x14ac:dyDescent="0.45">
      <c r="A265">
        <v>264</v>
      </c>
      <c r="B265" s="3">
        <v>44819</v>
      </c>
      <c r="C265" s="44">
        <f t="shared" si="14"/>
        <v>44819</v>
      </c>
      <c r="D265">
        <v>6357</v>
      </c>
      <c r="E265" t="str">
        <f>VLOOKUP(SalesTable[[#This Row],[Salesperson ID]],Salespeople!$A$2:$B$16,2,0)</f>
        <v>Johnny Bear</v>
      </c>
      <c r="F265">
        <v>14501</v>
      </c>
      <c r="G265" t="s">
        <v>204</v>
      </c>
      <c r="H265" t="s">
        <v>145</v>
      </c>
      <c r="I265" t="s">
        <v>64</v>
      </c>
      <c r="J265" t="str">
        <f>INDEX(Products!$A$2:$C$14,MATCH(SalesTable[[#This Row],[Product ID]],Products!$C$2:$C$14,0),2)</f>
        <v>Oatmeal soap</v>
      </c>
      <c r="K265" s="4">
        <v>5.95</v>
      </c>
      <c r="L265" s="8">
        <v>3</v>
      </c>
      <c r="M265" s="10">
        <f t="shared" si="12"/>
        <v>17.850000000000001</v>
      </c>
      <c r="N265">
        <v>3</v>
      </c>
      <c r="O265" s="3"/>
      <c r="P265" s="2"/>
      <c r="Q265" s="10">
        <f t="shared" si="13"/>
        <v>17.850000000000001</v>
      </c>
    </row>
    <row r="266" spans="1:17" x14ac:dyDescent="0.45">
      <c r="A266">
        <v>265</v>
      </c>
      <c r="B266" s="3">
        <v>44819</v>
      </c>
      <c r="C266" s="44">
        <f t="shared" si="14"/>
        <v>44819</v>
      </c>
      <c r="D266">
        <v>6892</v>
      </c>
      <c r="E266" t="str">
        <f>VLOOKUP(SalesTable[[#This Row],[Salesperson ID]],Salespeople!$A$2:$B$16,2,0)</f>
        <v>Fahd Sleiman</v>
      </c>
      <c r="F266">
        <v>15868</v>
      </c>
      <c r="G266" t="s">
        <v>175</v>
      </c>
      <c r="H266" t="s">
        <v>88</v>
      </c>
      <c r="I266" t="s">
        <v>52</v>
      </c>
      <c r="J266" t="str">
        <f>INDEX(Products!$A$2:$C$14,MATCH(SalesTable[[#This Row],[Product ID]],Products!$C$2:$C$14,0),2)</f>
        <v>Strawberry jam</v>
      </c>
      <c r="K266" s="4">
        <v>7.5</v>
      </c>
      <c r="L266" s="8">
        <v>6</v>
      </c>
      <c r="M266" s="10">
        <f t="shared" si="12"/>
        <v>45</v>
      </c>
      <c r="N266">
        <v>1</v>
      </c>
      <c r="O266" s="3"/>
      <c r="P266" s="2"/>
      <c r="Q266" s="10">
        <f t="shared" si="13"/>
        <v>45</v>
      </c>
    </row>
    <row r="267" spans="1:17" x14ac:dyDescent="0.45">
      <c r="A267">
        <v>266</v>
      </c>
      <c r="B267" s="3">
        <v>44819</v>
      </c>
      <c r="C267" s="44">
        <f t="shared" si="14"/>
        <v>44819</v>
      </c>
      <c r="D267">
        <v>6892</v>
      </c>
      <c r="E267" t="str">
        <f>VLOOKUP(SalesTable[[#This Row],[Salesperson ID]],Salespeople!$A$2:$B$16,2,0)</f>
        <v>Fahd Sleiman</v>
      </c>
      <c r="F267">
        <v>21104</v>
      </c>
      <c r="G267" t="s">
        <v>126</v>
      </c>
      <c r="H267" t="s">
        <v>51</v>
      </c>
      <c r="I267" t="s">
        <v>59</v>
      </c>
      <c r="J267" t="str">
        <f>INDEX(Products!$A$2:$C$14,MATCH(SalesTable[[#This Row],[Product ID]],Products!$C$2:$C$14,0),2)</f>
        <v>Wildflower honey</v>
      </c>
      <c r="K267" s="4">
        <v>9</v>
      </c>
      <c r="L267" s="8">
        <v>2</v>
      </c>
      <c r="M267" s="10">
        <f t="shared" si="12"/>
        <v>18</v>
      </c>
      <c r="N267">
        <v>2</v>
      </c>
      <c r="O267" s="3"/>
      <c r="P267" s="2"/>
      <c r="Q267" s="10">
        <f t="shared" si="13"/>
        <v>18</v>
      </c>
    </row>
    <row r="268" spans="1:17" x14ac:dyDescent="0.45">
      <c r="A268">
        <v>267</v>
      </c>
      <c r="B268" s="3">
        <v>44820</v>
      </c>
      <c r="C268" s="44">
        <f t="shared" si="14"/>
        <v>44820</v>
      </c>
      <c r="D268">
        <v>6892</v>
      </c>
      <c r="E268" t="str">
        <f>VLOOKUP(SalesTable[[#This Row],[Salesperson ID]],Salespeople!$A$2:$B$16,2,0)</f>
        <v>Fahd Sleiman</v>
      </c>
      <c r="F268">
        <v>18195</v>
      </c>
      <c r="G268" t="s">
        <v>159</v>
      </c>
      <c r="H268" t="s">
        <v>51</v>
      </c>
      <c r="I268" t="s">
        <v>57</v>
      </c>
      <c r="J268" t="str">
        <f>INDEX(Products!$A$2:$C$14,MATCH(SalesTable[[#This Row],[Product ID]],Products!$C$2:$C$14,0),2)</f>
        <v>Clover honey</v>
      </c>
      <c r="K268" s="4">
        <v>9</v>
      </c>
      <c r="L268" s="8">
        <v>10</v>
      </c>
      <c r="M268" s="10">
        <f t="shared" si="12"/>
        <v>90</v>
      </c>
      <c r="N268">
        <v>0</v>
      </c>
      <c r="O268" s="3"/>
      <c r="P268" s="2"/>
      <c r="Q268" s="10">
        <f t="shared" si="13"/>
        <v>90</v>
      </c>
    </row>
    <row r="269" spans="1:17" x14ac:dyDescent="0.45">
      <c r="A269">
        <v>268</v>
      </c>
      <c r="B269" s="3">
        <v>44820</v>
      </c>
      <c r="C269" s="44">
        <f t="shared" si="14"/>
        <v>44820</v>
      </c>
      <c r="D269">
        <v>8064</v>
      </c>
      <c r="E269" t="str">
        <f>VLOOKUP(SalesTable[[#This Row],[Salesperson ID]],Salespeople!$A$2:$B$16,2,0)</f>
        <v>Amal Salazar</v>
      </c>
      <c r="F269">
        <v>26018</v>
      </c>
      <c r="G269" t="s">
        <v>187</v>
      </c>
      <c r="H269" t="s">
        <v>63</v>
      </c>
      <c r="I269" t="s">
        <v>44</v>
      </c>
      <c r="J269" t="str">
        <f>INDEX(Products!$A$2:$C$14,MATCH(SalesTable[[#This Row],[Product ID]],Products!$C$2:$C$14,0),2)</f>
        <v>Goat milk and honey cream</v>
      </c>
      <c r="K269" s="4">
        <v>12</v>
      </c>
      <c r="L269" s="8">
        <v>8</v>
      </c>
      <c r="M269" s="10">
        <f t="shared" si="12"/>
        <v>96</v>
      </c>
      <c r="N269">
        <v>2</v>
      </c>
      <c r="O269" s="3"/>
      <c r="P269" s="2"/>
      <c r="Q269" s="10">
        <f t="shared" si="13"/>
        <v>96</v>
      </c>
    </row>
    <row r="270" spans="1:17" x14ac:dyDescent="0.45">
      <c r="A270">
        <v>269</v>
      </c>
      <c r="B270" s="3">
        <v>44821</v>
      </c>
      <c r="C270" s="44">
        <f t="shared" si="14"/>
        <v>44821</v>
      </c>
      <c r="D270">
        <v>6464</v>
      </c>
      <c r="E270" t="str">
        <f>VLOOKUP(SalesTable[[#This Row],[Salesperson ID]],Salespeople!$A$2:$B$16,2,0)</f>
        <v>Hamal Azzi</v>
      </c>
      <c r="F270">
        <v>13014</v>
      </c>
      <c r="G270" t="s">
        <v>120</v>
      </c>
      <c r="H270" t="s">
        <v>51</v>
      </c>
      <c r="I270" t="s">
        <v>47</v>
      </c>
      <c r="J270" t="str">
        <f>INDEX(Products!$A$2:$C$14,MATCH(SalesTable[[#This Row],[Product ID]],Products!$C$2:$C$14,0),2)</f>
        <v>Mixed berry jelly</v>
      </c>
      <c r="K270" s="4">
        <v>7.5</v>
      </c>
      <c r="L270" s="8">
        <v>9</v>
      </c>
      <c r="M270" s="10">
        <f t="shared" si="12"/>
        <v>67.5</v>
      </c>
      <c r="N270">
        <v>3</v>
      </c>
      <c r="O270" s="3"/>
      <c r="P270" s="2"/>
      <c r="Q270" s="10">
        <f t="shared" si="13"/>
        <v>67.5</v>
      </c>
    </row>
    <row r="271" spans="1:17" x14ac:dyDescent="0.45">
      <c r="A271">
        <v>270</v>
      </c>
      <c r="B271" s="3">
        <v>44821</v>
      </c>
      <c r="C271" s="44">
        <f t="shared" si="14"/>
        <v>44821</v>
      </c>
      <c r="D271">
        <v>6357</v>
      </c>
      <c r="E271" t="str">
        <f>VLOOKUP(SalesTable[[#This Row],[Salesperson ID]],Salespeople!$A$2:$B$16,2,0)</f>
        <v>Johnny Bear</v>
      </c>
      <c r="F271">
        <v>20177</v>
      </c>
      <c r="G271" t="s">
        <v>103</v>
      </c>
      <c r="H271" t="s">
        <v>41</v>
      </c>
      <c r="I271" t="s">
        <v>47</v>
      </c>
      <c r="J271" t="str">
        <f>INDEX(Products!$A$2:$C$14,MATCH(SalesTable[[#This Row],[Product ID]],Products!$C$2:$C$14,0),2)</f>
        <v>Mixed berry jelly</v>
      </c>
      <c r="K271" s="4">
        <v>7.5</v>
      </c>
      <c r="L271" s="8">
        <v>4</v>
      </c>
      <c r="M271" s="10">
        <f t="shared" si="12"/>
        <v>30</v>
      </c>
      <c r="N271">
        <v>3</v>
      </c>
      <c r="O271" s="3"/>
      <c r="P271" s="2"/>
      <c r="Q271" s="10">
        <f t="shared" si="13"/>
        <v>30</v>
      </c>
    </row>
    <row r="272" spans="1:17" x14ac:dyDescent="0.45">
      <c r="A272">
        <v>271</v>
      </c>
      <c r="B272" s="3">
        <v>44822</v>
      </c>
      <c r="C272" s="44">
        <f t="shared" si="14"/>
        <v>44822</v>
      </c>
      <c r="D272">
        <v>6678</v>
      </c>
      <c r="E272" t="str">
        <f>VLOOKUP(SalesTable[[#This Row],[Salesperson ID]],Salespeople!$A$2:$B$16,2,0)</f>
        <v>Amalia Ribeiro</v>
      </c>
      <c r="F272">
        <v>22749</v>
      </c>
      <c r="G272" t="s">
        <v>186</v>
      </c>
      <c r="H272" t="s">
        <v>56</v>
      </c>
      <c r="I272" t="s">
        <v>59</v>
      </c>
      <c r="J272" t="str">
        <f>INDEX(Products!$A$2:$C$14,MATCH(SalesTable[[#This Row],[Product ID]],Products!$C$2:$C$14,0),2)</f>
        <v>Wildflower honey</v>
      </c>
      <c r="K272" s="4">
        <v>9</v>
      </c>
      <c r="L272" s="8">
        <v>6</v>
      </c>
      <c r="M272" s="10">
        <f t="shared" si="12"/>
        <v>54</v>
      </c>
      <c r="N272">
        <v>0</v>
      </c>
      <c r="O272" s="3"/>
      <c r="P272" s="2"/>
      <c r="Q272" s="10">
        <f t="shared" si="13"/>
        <v>54</v>
      </c>
    </row>
    <row r="273" spans="1:17" x14ac:dyDescent="0.45">
      <c r="A273">
        <v>272</v>
      </c>
      <c r="B273" s="3">
        <v>44823</v>
      </c>
      <c r="C273" s="44">
        <f t="shared" si="14"/>
        <v>44823</v>
      </c>
      <c r="D273">
        <v>6678</v>
      </c>
      <c r="E273" t="str">
        <f>VLOOKUP(SalesTable[[#This Row],[Salesperson ID]],Salespeople!$A$2:$B$16,2,0)</f>
        <v>Amalia Ribeiro</v>
      </c>
      <c r="F273">
        <v>25168</v>
      </c>
      <c r="G273" t="s">
        <v>208</v>
      </c>
      <c r="H273" t="s">
        <v>145</v>
      </c>
      <c r="I273" t="s">
        <v>68</v>
      </c>
      <c r="J273" t="str">
        <f>INDEX(Products!$A$2:$C$14,MATCH(SalesTable[[#This Row],[Product ID]],Products!$C$2:$C$14,0),2)</f>
        <v>Mixed berry jam</v>
      </c>
      <c r="K273" s="4">
        <v>7.5</v>
      </c>
      <c r="L273" s="8">
        <v>3</v>
      </c>
      <c r="M273" s="10">
        <f t="shared" si="12"/>
        <v>22.5</v>
      </c>
      <c r="N273">
        <v>2</v>
      </c>
      <c r="O273" s="3"/>
      <c r="P273" s="2"/>
      <c r="Q273" s="10">
        <f t="shared" si="13"/>
        <v>22.5</v>
      </c>
    </row>
    <row r="274" spans="1:17" x14ac:dyDescent="0.45">
      <c r="A274">
        <v>273</v>
      </c>
      <c r="B274" s="3">
        <v>44824</v>
      </c>
      <c r="C274" s="44">
        <f t="shared" si="14"/>
        <v>44824</v>
      </c>
      <c r="D274">
        <v>8064</v>
      </c>
      <c r="E274" t="str">
        <f>VLOOKUP(SalesTable[[#This Row],[Salesperson ID]],Salespeople!$A$2:$B$16,2,0)</f>
        <v>Amal Salazar</v>
      </c>
      <c r="F274">
        <v>16741</v>
      </c>
      <c r="G274" t="s">
        <v>153</v>
      </c>
      <c r="H274" t="s">
        <v>46</v>
      </c>
      <c r="I274" t="s">
        <v>52</v>
      </c>
      <c r="J274" t="str">
        <f>INDEX(Products!$A$2:$C$14,MATCH(SalesTable[[#This Row],[Product ID]],Products!$C$2:$C$14,0),2)</f>
        <v>Strawberry jam</v>
      </c>
      <c r="K274" s="4">
        <v>7.5</v>
      </c>
      <c r="L274" s="8">
        <v>2</v>
      </c>
      <c r="M274" s="10">
        <f t="shared" si="12"/>
        <v>15</v>
      </c>
      <c r="N274">
        <v>1</v>
      </c>
      <c r="O274" s="3"/>
      <c r="P274" s="2"/>
      <c r="Q274" s="10">
        <f t="shared" si="13"/>
        <v>15</v>
      </c>
    </row>
    <row r="275" spans="1:17" x14ac:dyDescent="0.45">
      <c r="A275">
        <v>274</v>
      </c>
      <c r="B275" s="3">
        <v>44824</v>
      </c>
      <c r="C275" s="44">
        <f t="shared" si="14"/>
        <v>44824</v>
      </c>
      <c r="D275">
        <v>5418</v>
      </c>
      <c r="E275" t="str">
        <f>VLOOKUP(SalesTable[[#This Row],[Salesperson ID]],Salespeople!$A$2:$B$16,2,0)</f>
        <v>Isabell  Couture</v>
      </c>
      <c r="F275">
        <v>20676</v>
      </c>
      <c r="G275" t="s">
        <v>73</v>
      </c>
      <c r="H275" t="s">
        <v>63</v>
      </c>
      <c r="I275" t="s">
        <v>59</v>
      </c>
      <c r="J275" t="str">
        <f>INDEX(Products!$A$2:$C$14,MATCH(SalesTable[[#This Row],[Product ID]],Products!$C$2:$C$14,0),2)</f>
        <v>Wildflower honey</v>
      </c>
      <c r="K275" s="4">
        <v>9</v>
      </c>
      <c r="L275" s="8">
        <v>5</v>
      </c>
      <c r="M275" s="10">
        <f t="shared" si="12"/>
        <v>45</v>
      </c>
      <c r="N275">
        <v>2</v>
      </c>
      <c r="O275" s="3"/>
      <c r="P275" s="2"/>
      <c r="Q275" s="10">
        <f t="shared" si="13"/>
        <v>45</v>
      </c>
    </row>
    <row r="276" spans="1:17" x14ac:dyDescent="0.45">
      <c r="A276">
        <v>275</v>
      </c>
      <c r="B276" s="3">
        <v>44824</v>
      </c>
      <c r="C276" s="44">
        <f t="shared" si="14"/>
        <v>44824</v>
      </c>
      <c r="D276">
        <v>5400</v>
      </c>
      <c r="E276" t="str">
        <f>VLOOKUP(SalesTable[[#This Row],[Salesperson ID]],Salespeople!$A$2:$B$16,2,0)</f>
        <v>Maisha Karzai</v>
      </c>
      <c r="F276">
        <v>15625</v>
      </c>
      <c r="G276" t="s">
        <v>203</v>
      </c>
      <c r="H276" t="s">
        <v>63</v>
      </c>
      <c r="I276" t="s">
        <v>36</v>
      </c>
      <c r="J276" t="str">
        <f>INDEX(Products!$A$2:$C$14,MATCH(SalesTable[[#This Row],[Product ID]],Products!$C$2:$C$14,0),2)</f>
        <v>Goat milk soap</v>
      </c>
      <c r="K276" s="4">
        <v>5.95</v>
      </c>
      <c r="L276" s="8">
        <v>9</v>
      </c>
      <c r="M276" s="10">
        <f t="shared" si="12"/>
        <v>53.550000000000004</v>
      </c>
      <c r="N276">
        <v>2</v>
      </c>
      <c r="O276" s="3"/>
      <c r="P276" s="2"/>
      <c r="Q276" s="10">
        <f t="shared" si="13"/>
        <v>53.550000000000004</v>
      </c>
    </row>
    <row r="277" spans="1:17" x14ac:dyDescent="0.45">
      <c r="A277">
        <v>276</v>
      </c>
      <c r="B277" s="3">
        <v>44824</v>
      </c>
      <c r="C277" s="44">
        <f t="shared" si="14"/>
        <v>44824</v>
      </c>
      <c r="D277">
        <v>6464</v>
      </c>
      <c r="E277" t="str">
        <f>VLOOKUP(SalesTable[[#This Row],[Salesperson ID]],Salespeople!$A$2:$B$16,2,0)</f>
        <v>Hamal Azzi</v>
      </c>
      <c r="F277">
        <v>22883</v>
      </c>
      <c r="G277" t="s">
        <v>192</v>
      </c>
      <c r="H277" t="s">
        <v>66</v>
      </c>
      <c r="I277" t="s">
        <v>44</v>
      </c>
      <c r="J277" t="str">
        <f>INDEX(Products!$A$2:$C$14,MATCH(SalesTable[[#This Row],[Product ID]],Products!$C$2:$C$14,0),2)</f>
        <v>Goat milk and honey cream</v>
      </c>
      <c r="K277" s="4">
        <v>12</v>
      </c>
      <c r="L277" s="8">
        <v>7</v>
      </c>
      <c r="M277" s="10">
        <f t="shared" si="12"/>
        <v>84</v>
      </c>
      <c r="N277">
        <v>0</v>
      </c>
      <c r="O277" s="3"/>
      <c r="P277" s="2"/>
      <c r="Q277" s="10">
        <f t="shared" si="13"/>
        <v>84</v>
      </c>
    </row>
    <row r="278" spans="1:17" x14ac:dyDescent="0.45">
      <c r="A278">
        <v>277</v>
      </c>
      <c r="B278" s="3">
        <v>44825</v>
      </c>
      <c r="C278" s="44">
        <f t="shared" si="14"/>
        <v>44825</v>
      </c>
      <c r="D278">
        <v>5346</v>
      </c>
      <c r="E278" t="str">
        <f>VLOOKUP(SalesTable[[#This Row],[Salesperson ID]],Salespeople!$A$2:$B$16,2,0)</f>
        <v>Sergio Galvez</v>
      </c>
      <c r="F278">
        <v>15288</v>
      </c>
      <c r="G278" t="s">
        <v>101</v>
      </c>
      <c r="H278" t="s">
        <v>63</v>
      </c>
      <c r="I278" t="s">
        <v>70</v>
      </c>
      <c r="J278" t="str">
        <f>INDEX(Products!$A$2:$C$14,MATCH(SalesTable[[#This Row],[Product ID]],Products!$C$2:$C$14,0),2)</f>
        <v>Strawberry summer soap</v>
      </c>
      <c r="K278" s="4">
        <v>5.95</v>
      </c>
      <c r="L278" s="8">
        <v>10</v>
      </c>
      <c r="M278" s="10">
        <f t="shared" si="12"/>
        <v>59.5</v>
      </c>
      <c r="N278">
        <v>0</v>
      </c>
      <c r="O278" s="3"/>
      <c r="P278" s="2"/>
      <c r="Q278" s="10">
        <f t="shared" si="13"/>
        <v>59.5</v>
      </c>
    </row>
    <row r="279" spans="1:17" x14ac:dyDescent="0.45">
      <c r="A279">
        <v>278</v>
      </c>
      <c r="B279" s="3">
        <v>44825</v>
      </c>
      <c r="C279" s="44">
        <f t="shared" si="14"/>
        <v>44825</v>
      </c>
      <c r="D279">
        <v>6678</v>
      </c>
      <c r="E279" t="str">
        <f>VLOOKUP(SalesTable[[#This Row],[Salesperson ID]],Salespeople!$A$2:$B$16,2,0)</f>
        <v>Amalia Ribeiro</v>
      </c>
      <c r="F279">
        <v>23211</v>
      </c>
      <c r="G279" t="s">
        <v>81</v>
      </c>
      <c r="H279" t="s">
        <v>51</v>
      </c>
      <c r="I279" t="s">
        <v>44</v>
      </c>
      <c r="J279" t="str">
        <f>INDEX(Products!$A$2:$C$14,MATCH(SalesTable[[#This Row],[Product ID]],Products!$C$2:$C$14,0),2)</f>
        <v>Goat milk and honey cream</v>
      </c>
      <c r="K279" s="4">
        <v>12</v>
      </c>
      <c r="L279" s="8">
        <v>1</v>
      </c>
      <c r="M279" s="10">
        <f t="shared" si="12"/>
        <v>12</v>
      </c>
      <c r="N279">
        <v>1</v>
      </c>
      <c r="O279" s="3"/>
      <c r="P279" s="2"/>
      <c r="Q279" s="10">
        <f t="shared" si="13"/>
        <v>12</v>
      </c>
    </row>
    <row r="280" spans="1:17" x14ac:dyDescent="0.45">
      <c r="A280">
        <v>279</v>
      </c>
      <c r="B280" s="3">
        <v>44825</v>
      </c>
      <c r="C280" s="44">
        <f t="shared" si="14"/>
        <v>44825</v>
      </c>
      <c r="D280">
        <v>5418</v>
      </c>
      <c r="E280" t="str">
        <f>VLOOKUP(SalesTable[[#This Row],[Salesperson ID]],Salespeople!$A$2:$B$16,2,0)</f>
        <v>Isabell  Couture</v>
      </c>
      <c r="F280">
        <v>19375</v>
      </c>
      <c r="G280" t="s">
        <v>107</v>
      </c>
      <c r="H280" t="s">
        <v>51</v>
      </c>
      <c r="I280" t="s">
        <v>64</v>
      </c>
      <c r="J280" t="str">
        <f>INDEX(Products!$A$2:$C$14,MATCH(SalesTable[[#This Row],[Product ID]],Products!$C$2:$C$14,0),2)</f>
        <v>Oatmeal soap</v>
      </c>
      <c r="K280" s="4">
        <v>5.95</v>
      </c>
      <c r="L280" s="8">
        <v>3</v>
      </c>
      <c r="M280" s="10">
        <f t="shared" si="12"/>
        <v>17.850000000000001</v>
      </c>
      <c r="N280">
        <v>2</v>
      </c>
      <c r="O280" s="3"/>
      <c r="P280" s="2"/>
      <c r="Q280" s="10">
        <f t="shared" si="13"/>
        <v>17.850000000000001</v>
      </c>
    </row>
    <row r="281" spans="1:17" x14ac:dyDescent="0.45">
      <c r="A281">
        <v>280</v>
      </c>
      <c r="B281" s="3">
        <v>44825</v>
      </c>
      <c r="C281" s="44">
        <f t="shared" si="14"/>
        <v>44825</v>
      </c>
      <c r="D281">
        <v>8064</v>
      </c>
      <c r="E281" t="str">
        <f>VLOOKUP(SalesTable[[#This Row],[Salesperson ID]],Salespeople!$A$2:$B$16,2,0)</f>
        <v>Amal Salazar</v>
      </c>
      <c r="F281">
        <v>15256</v>
      </c>
      <c r="G281" t="s">
        <v>71</v>
      </c>
      <c r="H281" t="s">
        <v>51</v>
      </c>
      <c r="I281" t="s">
        <v>44</v>
      </c>
      <c r="J281" t="str">
        <f>INDEX(Products!$A$2:$C$14,MATCH(SalesTable[[#This Row],[Product ID]],Products!$C$2:$C$14,0),2)</f>
        <v>Goat milk and honey cream</v>
      </c>
      <c r="K281" s="4">
        <v>12</v>
      </c>
      <c r="L281" s="8">
        <v>4</v>
      </c>
      <c r="M281" s="10">
        <f t="shared" si="12"/>
        <v>48</v>
      </c>
      <c r="N281">
        <v>3</v>
      </c>
      <c r="O281" s="3"/>
      <c r="P281" s="2"/>
      <c r="Q281" s="10">
        <f t="shared" si="13"/>
        <v>48</v>
      </c>
    </row>
    <row r="282" spans="1:17" x14ac:dyDescent="0.45">
      <c r="A282">
        <v>281</v>
      </c>
      <c r="B282" s="3">
        <v>44825</v>
      </c>
      <c r="C282" s="44">
        <f t="shared" si="14"/>
        <v>44825</v>
      </c>
      <c r="D282">
        <v>6892</v>
      </c>
      <c r="E282" t="str">
        <f>VLOOKUP(SalesTable[[#This Row],[Salesperson ID]],Salespeople!$A$2:$B$16,2,0)</f>
        <v>Fahd Sleiman</v>
      </c>
      <c r="F282">
        <v>24924</v>
      </c>
      <c r="G282" t="s">
        <v>110</v>
      </c>
      <c r="H282" t="s">
        <v>63</v>
      </c>
      <c r="I282" t="s">
        <v>68</v>
      </c>
      <c r="J282" t="str">
        <f>INDEX(Products!$A$2:$C$14,MATCH(SalesTable[[#This Row],[Product ID]],Products!$C$2:$C$14,0),2)</f>
        <v>Mixed berry jam</v>
      </c>
      <c r="K282" s="4">
        <v>7.5</v>
      </c>
      <c r="L282" s="8">
        <v>3</v>
      </c>
      <c r="M282" s="10">
        <f t="shared" si="12"/>
        <v>22.5</v>
      </c>
      <c r="N282">
        <v>3</v>
      </c>
      <c r="O282" s="3"/>
      <c r="P282" s="2"/>
      <c r="Q282" s="10">
        <f t="shared" si="13"/>
        <v>22.5</v>
      </c>
    </row>
    <row r="283" spans="1:17" x14ac:dyDescent="0.45">
      <c r="A283">
        <v>282</v>
      </c>
      <c r="B283" s="3">
        <v>44825</v>
      </c>
      <c r="C283" s="44">
        <f t="shared" si="14"/>
        <v>44825</v>
      </c>
      <c r="D283">
        <v>6143</v>
      </c>
      <c r="E283" t="str">
        <f>VLOOKUP(SalesTable[[#This Row],[Salesperson ID]],Salespeople!$A$2:$B$16,2,0)</f>
        <v>Liane Cormier</v>
      </c>
      <c r="F283">
        <v>26554</v>
      </c>
      <c r="G283" t="s">
        <v>209</v>
      </c>
      <c r="H283" t="s">
        <v>51</v>
      </c>
      <c r="I283" t="s">
        <v>52</v>
      </c>
      <c r="J283" t="str">
        <f>INDEX(Products!$A$2:$C$14,MATCH(SalesTable[[#This Row],[Product ID]],Products!$C$2:$C$14,0),2)</f>
        <v>Strawberry jam</v>
      </c>
      <c r="K283" s="4">
        <v>7.5</v>
      </c>
      <c r="L283" s="8">
        <v>8</v>
      </c>
      <c r="M283" s="10">
        <f t="shared" si="12"/>
        <v>60</v>
      </c>
      <c r="N283">
        <v>3</v>
      </c>
      <c r="O283" s="3"/>
      <c r="P283" s="2"/>
      <c r="Q283" s="10">
        <f t="shared" si="13"/>
        <v>60</v>
      </c>
    </row>
    <row r="284" spans="1:17" x14ac:dyDescent="0.45">
      <c r="A284">
        <v>283</v>
      </c>
      <c r="B284" s="3">
        <v>44825</v>
      </c>
      <c r="C284" s="44">
        <f t="shared" si="14"/>
        <v>44825</v>
      </c>
      <c r="D284">
        <v>6678</v>
      </c>
      <c r="E284" t="str">
        <f>VLOOKUP(SalesTable[[#This Row],[Salesperson ID]],Salespeople!$A$2:$B$16,2,0)</f>
        <v>Amalia Ribeiro</v>
      </c>
      <c r="F284">
        <v>15256</v>
      </c>
      <c r="G284" t="s">
        <v>71</v>
      </c>
      <c r="H284" t="s">
        <v>51</v>
      </c>
      <c r="I284" t="s">
        <v>82</v>
      </c>
      <c r="J284" t="str">
        <f>INDEX(Products!$A$2:$C$14,MATCH(SalesTable[[#This Row],[Product ID]],Products!$C$2:$C$14,0),2)</f>
        <v>Oatmeal hand and body lotion</v>
      </c>
      <c r="K284" s="4">
        <v>12</v>
      </c>
      <c r="L284" s="8">
        <v>5</v>
      </c>
      <c r="M284" s="10">
        <f t="shared" si="12"/>
        <v>60</v>
      </c>
      <c r="N284">
        <v>2</v>
      </c>
      <c r="O284" s="3"/>
      <c r="P284" s="2"/>
      <c r="Q284" s="10">
        <f t="shared" si="13"/>
        <v>60</v>
      </c>
    </row>
    <row r="285" spans="1:17" x14ac:dyDescent="0.45">
      <c r="A285">
        <v>284</v>
      </c>
      <c r="B285" s="3">
        <v>44826</v>
      </c>
      <c r="C285" s="44">
        <f t="shared" si="14"/>
        <v>44826</v>
      </c>
      <c r="D285">
        <v>5418</v>
      </c>
      <c r="E285" t="str">
        <f>VLOOKUP(SalesTable[[#This Row],[Salesperson ID]],Salespeople!$A$2:$B$16,2,0)</f>
        <v>Isabell  Couture</v>
      </c>
      <c r="F285">
        <v>10075</v>
      </c>
      <c r="G285" t="s">
        <v>131</v>
      </c>
      <c r="H285" t="s">
        <v>41</v>
      </c>
      <c r="I285" t="s">
        <v>36</v>
      </c>
      <c r="J285" t="str">
        <f>INDEX(Products!$A$2:$C$14,MATCH(SalesTable[[#This Row],[Product ID]],Products!$C$2:$C$14,0),2)</f>
        <v>Goat milk soap</v>
      </c>
      <c r="K285" s="4">
        <v>5.95</v>
      </c>
      <c r="L285" s="8">
        <v>5</v>
      </c>
      <c r="M285" s="10">
        <f t="shared" si="12"/>
        <v>29.75</v>
      </c>
      <c r="N285">
        <v>2</v>
      </c>
      <c r="O285" s="3"/>
      <c r="P285" s="2"/>
      <c r="Q285" s="10">
        <f t="shared" si="13"/>
        <v>29.75</v>
      </c>
    </row>
    <row r="286" spans="1:17" x14ac:dyDescent="0.45">
      <c r="A286">
        <v>285</v>
      </c>
      <c r="B286" s="3">
        <v>44826</v>
      </c>
      <c r="C286" s="44">
        <f t="shared" si="14"/>
        <v>44826</v>
      </c>
      <c r="D286">
        <v>8064</v>
      </c>
      <c r="E286" t="str">
        <f>VLOOKUP(SalesTable[[#This Row],[Salesperson ID]],Salespeople!$A$2:$B$16,2,0)</f>
        <v>Amal Salazar</v>
      </c>
      <c r="F286">
        <v>12265</v>
      </c>
      <c r="G286" t="s">
        <v>34</v>
      </c>
      <c r="H286" t="s">
        <v>35</v>
      </c>
      <c r="I286" t="s">
        <v>70</v>
      </c>
      <c r="J286" t="str">
        <f>INDEX(Products!$A$2:$C$14,MATCH(SalesTable[[#This Row],[Product ID]],Products!$C$2:$C$14,0),2)</f>
        <v>Strawberry summer soap</v>
      </c>
      <c r="K286" s="4">
        <v>5.95</v>
      </c>
      <c r="L286" s="8">
        <v>8</v>
      </c>
      <c r="M286" s="10">
        <f t="shared" si="12"/>
        <v>47.6</v>
      </c>
      <c r="N286">
        <v>0</v>
      </c>
      <c r="O286" s="3"/>
      <c r="P286" s="2"/>
      <c r="Q286" s="10">
        <f t="shared" si="13"/>
        <v>47.6</v>
      </c>
    </row>
    <row r="287" spans="1:17" x14ac:dyDescent="0.45">
      <c r="A287">
        <v>286</v>
      </c>
      <c r="B287" s="3">
        <v>44827</v>
      </c>
      <c r="C287" s="44">
        <f t="shared" si="14"/>
        <v>44827</v>
      </c>
      <c r="D287">
        <v>6678</v>
      </c>
      <c r="E287" t="str">
        <f>VLOOKUP(SalesTable[[#This Row],[Salesperson ID]],Salespeople!$A$2:$B$16,2,0)</f>
        <v>Amalia Ribeiro</v>
      </c>
      <c r="F287">
        <v>25355</v>
      </c>
      <c r="G287" t="s">
        <v>117</v>
      </c>
      <c r="H287" t="s">
        <v>98</v>
      </c>
      <c r="I287" t="s">
        <v>39</v>
      </c>
      <c r="J287" t="str">
        <f>INDEX(Products!$A$2:$C$14,MATCH(SalesTable[[#This Row],[Product ID]],Products!$C$2:$C$14,0),2)</f>
        <v>Rhubarb-strawberry compote</v>
      </c>
      <c r="K287" s="4">
        <v>8</v>
      </c>
      <c r="L287" s="8">
        <v>8</v>
      </c>
      <c r="M287" s="10">
        <f t="shared" si="12"/>
        <v>64</v>
      </c>
      <c r="N287">
        <v>1</v>
      </c>
      <c r="O287" s="3"/>
      <c r="P287" s="2"/>
      <c r="Q287" s="10">
        <f t="shared" si="13"/>
        <v>64</v>
      </c>
    </row>
    <row r="288" spans="1:17" x14ac:dyDescent="0.45">
      <c r="A288">
        <v>287</v>
      </c>
      <c r="B288" s="3">
        <v>44827</v>
      </c>
      <c r="C288" s="44">
        <f t="shared" si="14"/>
        <v>44827</v>
      </c>
      <c r="D288">
        <v>6250</v>
      </c>
      <c r="E288" t="str">
        <f>VLOOKUP(SalesTable[[#This Row],[Salesperson ID]],Salespeople!$A$2:$B$16,2,0)</f>
        <v>Hu Lin</v>
      </c>
      <c r="F288">
        <v>25168</v>
      </c>
      <c r="G288" t="s">
        <v>208</v>
      </c>
      <c r="H288" t="s">
        <v>145</v>
      </c>
      <c r="I288" t="s">
        <v>52</v>
      </c>
      <c r="J288" t="str">
        <f>INDEX(Products!$A$2:$C$14,MATCH(SalesTable[[#This Row],[Product ID]],Products!$C$2:$C$14,0),2)</f>
        <v>Strawberry jam</v>
      </c>
      <c r="K288" s="4">
        <v>7.5</v>
      </c>
      <c r="L288" s="8">
        <v>5</v>
      </c>
      <c r="M288" s="10">
        <f t="shared" si="12"/>
        <v>37.5</v>
      </c>
      <c r="N288">
        <v>2</v>
      </c>
      <c r="O288" s="3"/>
      <c r="P288" s="2"/>
      <c r="Q288" s="10">
        <f t="shared" si="13"/>
        <v>37.5</v>
      </c>
    </row>
    <row r="289" spans="1:17" x14ac:dyDescent="0.45">
      <c r="A289">
        <v>288</v>
      </c>
      <c r="B289" s="3">
        <v>44827</v>
      </c>
      <c r="C289" s="44">
        <f t="shared" si="14"/>
        <v>44827</v>
      </c>
      <c r="D289">
        <v>4350</v>
      </c>
      <c r="E289" t="str">
        <f>VLOOKUP(SalesTable[[#This Row],[Salesperson ID]],Salespeople!$A$2:$B$16,2,0)</f>
        <v>Mukhtar Masih</v>
      </c>
      <c r="F289">
        <v>16088</v>
      </c>
      <c r="G289" t="s">
        <v>205</v>
      </c>
      <c r="H289" t="s">
        <v>51</v>
      </c>
      <c r="I289" t="s">
        <v>39</v>
      </c>
      <c r="J289" t="str">
        <f>INDEX(Products!$A$2:$C$14,MATCH(SalesTable[[#This Row],[Product ID]],Products!$C$2:$C$14,0),2)</f>
        <v>Rhubarb-strawberry compote</v>
      </c>
      <c r="K289" s="4">
        <v>8</v>
      </c>
      <c r="L289" s="8">
        <v>2</v>
      </c>
      <c r="M289" s="10">
        <f t="shared" si="12"/>
        <v>16</v>
      </c>
      <c r="N289">
        <v>2</v>
      </c>
      <c r="O289" s="3"/>
      <c r="P289" s="2"/>
      <c r="Q289" s="10">
        <f t="shared" si="13"/>
        <v>16</v>
      </c>
    </row>
    <row r="290" spans="1:17" x14ac:dyDescent="0.45">
      <c r="A290">
        <v>289</v>
      </c>
      <c r="B290" s="3">
        <v>44828</v>
      </c>
      <c r="C290" s="44">
        <f t="shared" si="14"/>
        <v>44828</v>
      </c>
      <c r="D290">
        <v>6678</v>
      </c>
      <c r="E290" t="str">
        <f>VLOOKUP(SalesTable[[#This Row],[Salesperson ID]],Salespeople!$A$2:$B$16,2,0)</f>
        <v>Amalia Ribeiro</v>
      </c>
      <c r="F290">
        <v>25523</v>
      </c>
      <c r="G290" t="s">
        <v>137</v>
      </c>
      <c r="H290" t="s">
        <v>51</v>
      </c>
      <c r="I290" t="s">
        <v>82</v>
      </c>
      <c r="J290" t="str">
        <f>INDEX(Products!$A$2:$C$14,MATCH(SalesTable[[#This Row],[Product ID]],Products!$C$2:$C$14,0),2)</f>
        <v>Oatmeal hand and body lotion</v>
      </c>
      <c r="K290" s="4">
        <v>12</v>
      </c>
      <c r="L290" s="8">
        <v>5</v>
      </c>
      <c r="M290" s="10">
        <f t="shared" si="12"/>
        <v>60</v>
      </c>
      <c r="N290">
        <v>0</v>
      </c>
      <c r="O290" s="3"/>
      <c r="P290" s="2"/>
      <c r="Q290" s="10">
        <f t="shared" si="13"/>
        <v>60</v>
      </c>
    </row>
    <row r="291" spans="1:17" x14ac:dyDescent="0.45">
      <c r="A291">
        <v>290</v>
      </c>
      <c r="B291" s="3">
        <v>44828</v>
      </c>
      <c r="C291" s="44">
        <f t="shared" si="14"/>
        <v>44828</v>
      </c>
      <c r="D291">
        <v>5454</v>
      </c>
      <c r="E291" t="str">
        <f>VLOOKUP(SalesTable[[#This Row],[Salesperson ID]],Salespeople!$A$2:$B$16,2,0)</f>
        <v>Anna Cunha</v>
      </c>
      <c r="F291">
        <v>23607</v>
      </c>
      <c r="G291" t="s">
        <v>195</v>
      </c>
      <c r="H291" t="s">
        <v>46</v>
      </c>
      <c r="I291" t="s">
        <v>82</v>
      </c>
      <c r="J291" t="str">
        <f>INDEX(Products!$A$2:$C$14,MATCH(SalesTable[[#This Row],[Product ID]],Products!$C$2:$C$14,0),2)</f>
        <v>Oatmeal hand and body lotion</v>
      </c>
      <c r="K291" s="4">
        <v>12</v>
      </c>
      <c r="L291" s="8">
        <v>3</v>
      </c>
      <c r="M291" s="10">
        <f t="shared" si="12"/>
        <v>36</v>
      </c>
      <c r="N291">
        <v>2</v>
      </c>
      <c r="O291" s="3"/>
      <c r="P291" s="2"/>
      <c r="Q291" s="10">
        <f t="shared" si="13"/>
        <v>36</v>
      </c>
    </row>
    <row r="292" spans="1:17" x14ac:dyDescent="0.45">
      <c r="A292">
        <v>291</v>
      </c>
      <c r="B292" s="3">
        <v>44829</v>
      </c>
      <c r="C292" s="44">
        <f t="shared" si="14"/>
        <v>44829</v>
      </c>
      <c r="D292">
        <v>5400</v>
      </c>
      <c r="E292" t="str">
        <f>VLOOKUP(SalesTable[[#This Row],[Salesperson ID]],Salespeople!$A$2:$B$16,2,0)</f>
        <v>Maisha Karzai</v>
      </c>
      <c r="F292">
        <v>19904</v>
      </c>
      <c r="G292" t="s">
        <v>97</v>
      </c>
      <c r="H292" t="s">
        <v>98</v>
      </c>
      <c r="I292" t="s">
        <v>39</v>
      </c>
      <c r="J292" t="str">
        <f>INDEX(Products!$A$2:$C$14,MATCH(SalesTable[[#This Row],[Product ID]],Products!$C$2:$C$14,0),2)</f>
        <v>Rhubarb-strawberry compote</v>
      </c>
      <c r="K292" s="4">
        <v>8</v>
      </c>
      <c r="L292" s="8">
        <v>7</v>
      </c>
      <c r="M292" s="10">
        <f t="shared" si="12"/>
        <v>56</v>
      </c>
      <c r="N292">
        <v>0</v>
      </c>
      <c r="O292" s="3"/>
      <c r="P292" s="2"/>
      <c r="Q292" s="10">
        <f t="shared" si="13"/>
        <v>56</v>
      </c>
    </row>
    <row r="293" spans="1:17" x14ac:dyDescent="0.45">
      <c r="A293">
        <v>292</v>
      </c>
      <c r="B293" s="3">
        <v>44829</v>
      </c>
      <c r="C293" s="44">
        <f t="shared" si="14"/>
        <v>44829</v>
      </c>
      <c r="D293">
        <v>6892</v>
      </c>
      <c r="E293" t="str">
        <f>VLOOKUP(SalesTable[[#This Row],[Salesperson ID]],Salespeople!$A$2:$B$16,2,0)</f>
        <v>Fahd Sleiman</v>
      </c>
      <c r="F293">
        <v>10734</v>
      </c>
      <c r="G293" t="s">
        <v>157</v>
      </c>
      <c r="H293" t="s">
        <v>56</v>
      </c>
      <c r="I293" t="s">
        <v>57</v>
      </c>
      <c r="J293" t="str">
        <f>INDEX(Products!$A$2:$C$14,MATCH(SalesTable[[#This Row],[Product ID]],Products!$C$2:$C$14,0),2)</f>
        <v>Clover honey</v>
      </c>
      <c r="K293" s="4">
        <v>9</v>
      </c>
      <c r="L293" s="8">
        <v>6</v>
      </c>
      <c r="M293" s="10">
        <f t="shared" si="12"/>
        <v>54</v>
      </c>
      <c r="N293">
        <v>0</v>
      </c>
      <c r="O293" s="3"/>
      <c r="P293" s="2"/>
      <c r="Q293" s="10">
        <f t="shared" si="13"/>
        <v>54</v>
      </c>
    </row>
    <row r="294" spans="1:17" x14ac:dyDescent="0.45">
      <c r="A294">
        <v>293</v>
      </c>
      <c r="B294" s="3">
        <v>44829</v>
      </c>
      <c r="C294" s="44">
        <f t="shared" si="14"/>
        <v>44829</v>
      </c>
      <c r="D294">
        <v>8064</v>
      </c>
      <c r="E294" t="str">
        <f>VLOOKUP(SalesTable[[#This Row],[Salesperson ID]],Salespeople!$A$2:$B$16,2,0)</f>
        <v>Amal Salazar</v>
      </c>
      <c r="F294">
        <v>25226</v>
      </c>
      <c r="G294" t="s">
        <v>95</v>
      </c>
      <c r="H294" t="s">
        <v>96</v>
      </c>
      <c r="I294" t="s">
        <v>36</v>
      </c>
      <c r="J294" t="str">
        <f>INDEX(Products!$A$2:$C$14,MATCH(SalesTable[[#This Row],[Product ID]],Products!$C$2:$C$14,0),2)</f>
        <v>Goat milk soap</v>
      </c>
      <c r="K294" s="4">
        <v>5.95</v>
      </c>
      <c r="L294" s="8">
        <v>7</v>
      </c>
      <c r="M294" s="10">
        <f t="shared" si="12"/>
        <v>41.65</v>
      </c>
      <c r="N294">
        <v>1</v>
      </c>
      <c r="O294" s="3"/>
      <c r="P294" s="2"/>
      <c r="Q294" s="10">
        <f t="shared" si="13"/>
        <v>41.65</v>
      </c>
    </row>
    <row r="295" spans="1:17" x14ac:dyDescent="0.45">
      <c r="A295">
        <v>294</v>
      </c>
      <c r="B295" s="3">
        <v>44830</v>
      </c>
      <c r="C295" s="44">
        <f t="shared" si="14"/>
        <v>44830</v>
      </c>
      <c r="D295">
        <v>6571</v>
      </c>
      <c r="E295" t="str">
        <f>VLOOKUP(SalesTable[[#This Row],[Salesperson ID]],Salespeople!$A$2:$B$16,2,0)</f>
        <v>Iker Dominguez</v>
      </c>
      <c r="F295">
        <v>10558</v>
      </c>
      <c r="G295" t="s">
        <v>100</v>
      </c>
      <c r="H295" t="s">
        <v>41</v>
      </c>
      <c r="I295" t="s">
        <v>44</v>
      </c>
      <c r="J295" t="str">
        <f>INDEX(Products!$A$2:$C$14,MATCH(SalesTable[[#This Row],[Product ID]],Products!$C$2:$C$14,0),2)</f>
        <v>Goat milk and honey cream</v>
      </c>
      <c r="K295" s="4">
        <v>12</v>
      </c>
      <c r="L295" s="8">
        <v>1</v>
      </c>
      <c r="M295" s="10">
        <f t="shared" si="12"/>
        <v>12</v>
      </c>
      <c r="N295">
        <v>0</v>
      </c>
      <c r="O295" s="3"/>
      <c r="P295" s="2"/>
      <c r="Q295" s="10">
        <f t="shared" si="13"/>
        <v>12</v>
      </c>
    </row>
    <row r="296" spans="1:17" x14ac:dyDescent="0.45">
      <c r="A296">
        <v>295</v>
      </c>
      <c r="B296" s="3">
        <v>44830</v>
      </c>
      <c r="C296" s="44">
        <f t="shared" si="14"/>
        <v>44830</v>
      </c>
      <c r="D296">
        <v>6892</v>
      </c>
      <c r="E296" t="str">
        <f>VLOOKUP(SalesTable[[#This Row],[Salesperson ID]],Salespeople!$A$2:$B$16,2,0)</f>
        <v>Fahd Sleiman</v>
      </c>
      <c r="F296">
        <v>18345</v>
      </c>
      <c r="G296" t="s">
        <v>185</v>
      </c>
      <c r="H296" t="s">
        <v>35</v>
      </c>
      <c r="I296" t="s">
        <v>39</v>
      </c>
      <c r="J296" t="str">
        <f>INDEX(Products!$A$2:$C$14,MATCH(SalesTable[[#This Row],[Product ID]],Products!$C$2:$C$14,0),2)</f>
        <v>Rhubarb-strawberry compote</v>
      </c>
      <c r="K296" s="4">
        <v>8</v>
      </c>
      <c r="L296" s="8">
        <v>1</v>
      </c>
      <c r="M296" s="10">
        <f t="shared" si="12"/>
        <v>8</v>
      </c>
      <c r="N296">
        <v>3</v>
      </c>
      <c r="O296" s="3"/>
      <c r="P296" s="2"/>
      <c r="Q296" s="10">
        <f t="shared" si="13"/>
        <v>8</v>
      </c>
    </row>
    <row r="297" spans="1:17" x14ac:dyDescent="0.45">
      <c r="A297">
        <v>296</v>
      </c>
      <c r="B297" s="3">
        <v>44831</v>
      </c>
      <c r="C297" s="44">
        <f t="shared" si="14"/>
        <v>44831</v>
      </c>
      <c r="D297">
        <v>8064</v>
      </c>
      <c r="E297" t="str">
        <f>VLOOKUP(SalesTable[[#This Row],[Salesperson ID]],Salespeople!$A$2:$B$16,2,0)</f>
        <v>Amal Salazar</v>
      </c>
      <c r="F297">
        <v>20177</v>
      </c>
      <c r="G297" t="s">
        <v>103</v>
      </c>
      <c r="H297" t="s">
        <v>41</v>
      </c>
      <c r="I297" t="s">
        <v>68</v>
      </c>
      <c r="J297" t="str">
        <f>INDEX(Products!$A$2:$C$14,MATCH(SalesTable[[#This Row],[Product ID]],Products!$C$2:$C$14,0),2)</f>
        <v>Mixed berry jam</v>
      </c>
      <c r="K297" s="4">
        <v>7.5</v>
      </c>
      <c r="L297" s="8">
        <v>7</v>
      </c>
      <c r="M297" s="10">
        <f t="shared" si="12"/>
        <v>52.5</v>
      </c>
      <c r="N297">
        <v>1</v>
      </c>
      <c r="O297" s="3"/>
      <c r="P297" s="2"/>
      <c r="Q297" s="10">
        <f t="shared" si="13"/>
        <v>52.5</v>
      </c>
    </row>
    <row r="298" spans="1:17" x14ac:dyDescent="0.45">
      <c r="A298">
        <v>297</v>
      </c>
      <c r="B298" s="3">
        <v>44832</v>
      </c>
      <c r="C298" s="44">
        <f t="shared" si="14"/>
        <v>44832</v>
      </c>
      <c r="D298">
        <v>5454</v>
      </c>
      <c r="E298" t="str">
        <f>VLOOKUP(SalesTable[[#This Row],[Salesperson ID]],Salespeople!$A$2:$B$16,2,0)</f>
        <v>Anna Cunha</v>
      </c>
      <c r="F298">
        <v>26554</v>
      </c>
      <c r="G298" t="s">
        <v>209</v>
      </c>
      <c r="H298" t="s">
        <v>51</v>
      </c>
      <c r="I298" t="s">
        <v>61</v>
      </c>
      <c r="J298" t="str">
        <f>INDEX(Products!$A$2:$C$14,MATCH(SalesTable[[#This Row],[Product ID]],Products!$C$2:$C$14,0),2)</f>
        <v>Buckwheat honey</v>
      </c>
      <c r="K298" s="4">
        <v>9</v>
      </c>
      <c r="L298" s="8">
        <v>4</v>
      </c>
      <c r="M298" s="10">
        <f t="shared" si="12"/>
        <v>36</v>
      </c>
      <c r="N298">
        <v>3</v>
      </c>
      <c r="O298" s="3"/>
      <c r="P298" s="2"/>
      <c r="Q298" s="10">
        <f t="shared" si="13"/>
        <v>36</v>
      </c>
    </row>
    <row r="299" spans="1:17" x14ac:dyDescent="0.45">
      <c r="A299">
        <v>298</v>
      </c>
      <c r="B299" s="3">
        <v>44832</v>
      </c>
      <c r="C299" s="44">
        <f t="shared" si="14"/>
        <v>44832</v>
      </c>
      <c r="D299">
        <v>1384</v>
      </c>
      <c r="E299" t="str">
        <f>VLOOKUP(SalesTable[[#This Row],[Salesperson ID]],Salespeople!$A$2:$B$16,2,0)</f>
        <v>Igor Almeida</v>
      </c>
      <c r="F299">
        <v>11124</v>
      </c>
      <c r="G299" t="s">
        <v>42</v>
      </c>
      <c r="H299" t="s">
        <v>43</v>
      </c>
      <c r="I299" t="s">
        <v>99</v>
      </c>
      <c r="J299" t="str">
        <f>INDEX(Products!$A$2:$C$14,MATCH(SalesTable[[#This Row],[Product ID]],Products!$C$2:$C$14,0),2)</f>
        <v>Goat milk hand and body lotion</v>
      </c>
      <c r="K299" s="4">
        <v>12</v>
      </c>
      <c r="L299" s="8">
        <v>3</v>
      </c>
      <c r="M299" s="10">
        <f t="shared" si="12"/>
        <v>36</v>
      </c>
      <c r="N299">
        <v>1</v>
      </c>
      <c r="O299" s="3"/>
      <c r="P299" s="2"/>
      <c r="Q299" s="10">
        <f t="shared" si="13"/>
        <v>36</v>
      </c>
    </row>
    <row r="300" spans="1:17" x14ac:dyDescent="0.45">
      <c r="A300">
        <v>299</v>
      </c>
      <c r="B300" s="3">
        <v>44833</v>
      </c>
      <c r="C300" s="44">
        <f t="shared" si="14"/>
        <v>44833</v>
      </c>
      <c r="D300">
        <v>6678</v>
      </c>
      <c r="E300" t="str">
        <f>VLOOKUP(SalesTable[[#This Row],[Salesperson ID]],Salespeople!$A$2:$B$16,2,0)</f>
        <v>Amalia Ribeiro</v>
      </c>
      <c r="F300">
        <v>10553</v>
      </c>
      <c r="G300" t="s">
        <v>207</v>
      </c>
      <c r="H300" t="s">
        <v>49</v>
      </c>
      <c r="I300" t="s">
        <v>39</v>
      </c>
      <c r="J300" t="str">
        <f>INDEX(Products!$A$2:$C$14,MATCH(SalesTable[[#This Row],[Product ID]],Products!$C$2:$C$14,0),2)</f>
        <v>Rhubarb-strawberry compote</v>
      </c>
      <c r="K300" s="4">
        <v>8</v>
      </c>
      <c r="L300" s="8">
        <v>9</v>
      </c>
      <c r="M300" s="10">
        <f t="shared" si="12"/>
        <v>72</v>
      </c>
      <c r="N300">
        <v>3</v>
      </c>
      <c r="O300" s="3"/>
      <c r="P300" s="2"/>
      <c r="Q300" s="10">
        <f t="shared" si="13"/>
        <v>72</v>
      </c>
    </row>
    <row r="301" spans="1:17" x14ac:dyDescent="0.45">
      <c r="A301">
        <v>300</v>
      </c>
      <c r="B301" s="3">
        <v>44833</v>
      </c>
      <c r="C301" s="44">
        <f t="shared" si="14"/>
        <v>44833</v>
      </c>
      <c r="D301">
        <v>6678</v>
      </c>
      <c r="E301" t="str">
        <f>VLOOKUP(SalesTable[[#This Row],[Salesperson ID]],Salespeople!$A$2:$B$16,2,0)</f>
        <v>Amalia Ribeiro</v>
      </c>
      <c r="F301">
        <v>17610</v>
      </c>
      <c r="G301" t="s">
        <v>163</v>
      </c>
      <c r="H301" t="s">
        <v>41</v>
      </c>
      <c r="I301" t="s">
        <v>44</v>
      </c>
      <c r="J301" t="str">
        <f>INDEX(Products!$A$2:$C$14,MATCH(SalesTable[[#This Row],[Product ID]],Products!$C$2:$C$14,0),2)</f>
        <v>Goat milk and honey cream</v>
      </c>
      <c r="K301" s="4">
        <v>12</v>
      </c>
      <c r="L301" s="8">
        <v>5</v>
      </c>
      <c r="M301" s="10">
        <f t="shared" si="12"/>
        <v>60</v>
      </c>
      <c r="N301">
        <v>2</v>
      </c>
      <c r="O301" s="3"/>
      <c r="P301" s="2"/>
      <c r="Q301" s="10">
        <f t="shared" si="13"/>
        <v>60</v>
      </c>
    </row>
    <row r="302" spans="1:17" x14ac:dyDescent="0.45">
      <c r="A302">
        <v>301</v>
      </c>
      <c r="B302" s="3">
        <v>44833</v>
      </c>
      <c r="C302" s="44">
        <f t="shared" si="14"/>
        <v>44833</v>
      </c>
      <c r="D302">
        <v>6678</v>
      </c>
      <c r="E302" t="str">
        <f>VLOOKUP(SalesTable[[#This Row],[Salesperson ID]],Salespeople!$A$2:$B$16,2,0)</f>
        <v>Amalia Ribeiro</v>
      </c>
      <c r="F302">
        <v>26510</v>
      </c>
      <c r="G302" t="s">
        <v>194</v>
      </c>
      <c r="H302" t="s">
        <v>56</v>
      </c>
      <c r="I302" t="s">
        <v>52</v>
      </c>
      <c r="J302" t="str">
        <f>INDEX(Products!$A$2:$C$14,MATCH(SalesTable[[#This Row],[Product ID]],Products!$C$2:$C$14,0),2)</f>
        <v>Strawberry jam</v>
      </c>
      <c r="K302" s="4">
        <v>7.5</v>
      </c>
      <c r="L302" s="8">
        <v>9</v>
      </c>
      <c r="M302" s="10">
        <f t="shared" si="12"/>
        <v>67.5</v>
      </c>
      <c r="N302">
        <v>0</v>
      </c>
      <c r="O302" s="3"/>
      <c r="P302" s="2"/>
      <c r="Q302" s="10">
        <f t="shared" si="13"/>
        <v>67.5</v>
      </c>
    </row>
    <row r="303" spans="1:17" x14ac:dyDescent="0.45">
      <c r="A303">
        <v>302</v>
      </c>
      <c r="B303" s="3">
        <v>44833</v>
      </c>
      <c r="C303" s="44">
        <f t="shared" si="14"/>
        <v>44833</v>
      </c>
      <c r="D303">
        <v>5400</v>
      </c>
      <c r="E303" t="str">
        <f>VLOOKUP(SalesTable[[#This Row],[Salesperson ID]],Salespeople!$A$2:$B$16,2,0)</f>
        <v>Maisha Karzai</v>
      </c>
      <c r="F303">
        <v>12032</v>
      </c>
      <c r="G303" t="s">
        <v>143</v>
      </c>
      <c r="H303" t="s">
        <v>51</v>
      </c>
      <c r="I303" t="s">
        <v>44</v>
      </c>
      <c r="J303" t="str">
        <f>INDEX(Products!$A$2:$C$14,MATCH(SalesTable[[#This Row],[Product ID]],Products!$C$2:$C$14,0),2)</f>
        <v>Goat milk and honey cream</v>
      </c>
      <c r="K303" s="4">
        <v>12</v>
      </c>
      <c r="L303" s="8">
        <v>7</v>
      </c>
      <c r="M303" s="10">
        <f t="shared" si="12"/>
        <v>84</v>
      </c>
      <c r="N303">
        <v>1</v>
      </c>
      <c r="O303" s="3"/>
      <c r="P303" s="2"/>
      <c r="Q303" s="10">
        <f t="shared" si="13"/>
        <v>84</v>
      </c>
    </row>
    <row r="304" spans="1:17" x14ac:dyDescent="0.45">
      <c r="A304">
        <v>303</v>
      </c>
      <c r="B304" s="3">
        <v>44833</v>
      </c>
      <c r="C304" s="44">
        <f t="shared" si="14"/>
        <v>44833</v>
      </c>
      <c r="D304">
        <v>6892</v>
      </c>
      <c r="E304" t="str">
        <f>VLOOKUP(SalesTable[[#This Row],[Salesperson ID]],Salespeople!$A$2:$B$16,2,0)</f>
        <v>Fahd Sleiman</v>
      </c>
      <c r="F304">
        <v>16595</v>
      </c>
      <c r="G304" t="s">
        <v>180</v>
      </c>
      <c r="H304" t="s">
        <v>51</v>
      </c>
      <c r="I304" t="s">
        <v>36</v>
      </c>
      <c r="J304" t="str">
        <f>INDEX(Products!$A$2:$C$14,MATCH(SalesTable[[#This Row],[Product ID]],Products!$C$2:$C$14,0),2)</f>
        <v>Goat milk soap</v>
      </c>
      <c r="K304" s="4">
        <v>5.95</v>
      </c>
      <c r="L304" s="8">
        <v>7</v>
      </c>
      <c r="M304" s="10">
        <f t="shared" si="12"/>
        <v>41.65</v>
      </c>
      <c r="N304">
        <v>3</v>
      </c>
      <c r="O304" s="3"/>
      <c r="P304" s="2"/>
      <c r="Q304" s="10">
        <f t="shared" si="13"/>
        <v>41.65</v>
      </c>
    </row>
    <row r="305" spans="1:17" x14ac:dyDescent="0.45">
      <c r="A305">
        <v>304</v>
      </c>
      <c r="B305" s="3">
        <v>44834</v>
      </c>
      <c r="C305" s="44">
        <f t="shared" si="14"/>
        <v>44834</v>
      </c>
      <c r="D305">
        <v>4350</v>
      </c>
      <c r="E305" t="str">
        <f>VLOOKUP(SalesTable[[#This Row],[Salesperson ID]],Salespeople!$A$2:$B$16,2,0)</f>
        <v>Mukhtar Masih</v>
      </c>
      <c r="F305">
        <v>28732</v>
      </c>
      <c r="G305" t="s">
        <v>109</v>
      </c>
      <c r="H305" t="s">
        <v>78</v>
      </c>
      <c r="I305" t="s">
        <v>99</v>
      </c>
      <c r="J305" t="str">
        <f>INDEX(Products!$A$2:$C$14,MATCH(SalesTable[[#This Row],[Product ID]],Products!$C$2:$C$14,0),2)</f>
        <v>Goat milk hand and body lotion</v>
      </c>
      <c r="K305" s="4">
        <v>12</v>
      </c>
      <c r="L305" s="8">
        <v>1</v>
      </c>
      <c r="M305" s="10">
        <f t="shared" si="12"/>
        <v>12</v>
      </c>
      <c r="N305">
        <v>0</v>
      </c>
      <c r="O305" s="3"/>
      <c r="P305" s="2"/>
      <c r="Q305" s="10">
        <f t="shared" si="13"/>
        <v>12</v>
      </c>
    </row>
    <row r="306" spans="1:17" x14ac:dyDescent="0.45">
      <c r="A306">
        <v>305</v>
      </c>
      <c r="B306" s="3">
        <v>44834</v>
      </c>
      <c r="C306" s="44">
        <f t="shared" si="14"/>
        <v>44834</v>
      </c>
      <c r="D306">
        <v>6143</v>
      </c>
      <c r="E306" t="str">
        <f>VLOOKUP(SalesTable[[#This Row],[Salesperson ID]],Salespeople!$A$2:$B$16,2,0)</f>
        <v>Liane Cormier</v>
      </c>
      <c r="F306">
        <v>24926</v>
      </c>
      <c r="G306" t="s">
        <v>135</v>
      </c>
      <c r="H306" t="s">
        <v>92</v>
      </c>
      <c r="I306" t="s">
        <v>47</v>
      </c>
      <c r="J306" t="str">
        <f>INDEX(Products!$A$2:$C$14,MATCH(SalesTable[[#This Row],[Product ID]],Products!$C$2:$C$14,0),2)</f>
        <v>Mixed berry jelly</v>
      </c>
      <c r="K306" s="4">
        <v>7.5</v>
      </c>
      <c r="L306" s="8">
        <v>4</v>
      </c>
      <c r="M306" s="10">
        <f t="shared" si="12"/>
        <v>30</v>
      </c>
      <c r="N306">
        <v>2</v>
      </c>
      <c r="O306" s="3"/>
      <c r="P306" s="2"/>
      <c r="Q306" s="10">
        <f t="shared" si="13"/>
        <v>30</v>
      </c>
    </row>
    <row r="307" spans="1:17" x14ac:dyDescent="0.45">
      <c r="A307">
        <v>306</v>
      </c>
      <c r="B307" s="3">
        <v>44834</v>
      </c>
      <c r="C307" s="44">
        <f t="shared" si="14"/>
        <v>44834</v>
      </c>
      <c r="D307">
        <v>5400</v>
      </c>
      <c r="E307" t="str">
        <f>VLOOKUP(SalesTable[[#This Row],[Salesperson ID]],Salespeople!$A$2:$B$16,2,0)</f>
        <v>Maisha Karzai</v>
      </c>
      <c r="F307">
        <v>25355</v>
      </c>
      <c r="G307" t="s">
        <v>117</v>
      </c>
      <c r="H307" t="s">
        <v>98</v>
      </c>
      <c r="I307" t="s">
        <v>82</v>
      </c>
      <c r="J307" t="str">
        <f>INDEX(Products!$A$2:$C$14,MATCH(SalesTable[[#This Row],[Product ID]],Products!$C$2:$C$14,0),2)</f>
        <v>Oatmeal hand and body lotion</v>
      </c>
      <c r="K307" s="4">
        <v>12</v>
      </c>
      <c r="L307" s="8">
        <v>7</v>
      </c>
      <c r="M307" s="10">
        <f t="shared" si="12"/>
        <v>84</v>
      </c>
      <c r="N307">
        <v>2</v>
      </c>
      <c r="O307" s="3"/>
      <c r="P307" s="2"/>
      <c r="Q307" s="10">
        <f t="shared" si="13"/>
        <v>84</v>
      </c>
    </row>
    <row r="308" spans="1:17" x14ac:dyDescent="0.45">
      <c r="B308" s="3"/>
      <c r="D308" s="3"/>
      <c r="E308" s="3"/>
      <c r="N308" s="3"/>
      <c r="O308" s="3"/>
    </row>
    <row r="309" spans="1:17" x14ac:dyDescent="0.45">
      <c r="B309" s="3"/>
      <c r="D309" s="3"/>
      <c r="E309" s="3"/>
      <c r="K309" s="5" t="s">
        <v>210</v>
      </c>
      <c r="L309" s="15">
        <f>SUM(L2:L308)</f>
        <v>1641</v>
      </c>
      <c r="M309" s="15">
        <f>SUM(M2:M308)</f>
        <v>13962.149999999998</v>
      </c>
      <c r="N309" s="16"/>
      <c r="O309" s="16"/>
      <c r="P309" s="5"/>
      <c r="Q309" s="15">
        <f>SUM(Q2:Q308)</f>
        <v>13962.149999999998</v>
      </c>
    </row>
    <row r="310" spans="1:17" x14ac:dyDescent="0.45">
      <c r="B310" s="3"/>
      <c r="D310" s="3"/>
      <c r="E310" s="3"/>
      <c r="N310" s="3"/>
      <c r="O310" s="3"/>
    </row>
    <row r="311" spans="1:17" x14ac:dyDescent="0.45">
      <c r="B311" s="3"/>
      <c r="D311" s="3"/>
      <c r="E311" s="3"/>
      <c r="N311" s="3"/>
      <c r="O311" s="3"/>
    </row>
    <row r="312" spans="1:17" x14ac:dyDescent="0.45">
      <c r="B312" s="3"/>
      <c r="D312" s="3"/>
      <c r="E312" s="3"/>
      <c r="N312" s="3"/>
      <c r="O312" s="3"/>
    </row>
    <row r="313" spans="1:17" x14ac:dyDescent="0.45">
      <c r="D313" s="3"/>
      <c r="E313" s="3"/>
      <c r="N313" s="3"/>
      <c r="O313" s="3"/>
    </row>
    <row r="314" spans="1:17" x14ac:dyDescent="0.45">
      <c r="D314" s="3"/>
      <c r="E314" s="3"/>
      <c r="N314" s="3"/>
      <c r="O314" s="3"/>
    </row>
    <row r="315" spans="1:17" x14ac:dyDescent="0.45">
      <c r="B315" s="3"/>
      <c r="D315" s="3"/>
      <c r="E315" s="3"/>
      <c r="N315" s="3"/>
      <c r="O315" s="3"/>
    </row>
    <row r="316" spans="1:17" x14ac:dyDescent="0.45">
      <c r="B316" s="3"/>
      <c r="D316" s="3"/>
      <c r="E316" s="3"/>
      <c r="N316" s="3"/>
      <c r="O316" s="3"/>
    </row>
    <row r="317" spans="1:17" x14ac:dyDescent="0.45">
      <c r="B317" s="3"/>
      <c r="D317" s="3"/>
      <c r="E317" s="3"/>
      <c r="N317" s="3"/>
      <c r="O317" s="3"/>
    </row>
    <row r="318" spans="1:17" x14ac:dyDescent="0.45">
      <c r="B318" s="3"/>
      <c r="D318" s="3"/>
      <c r="E318" s="3"/>
      <c r="N318" s="3"/>
      <c r="O318" s="3"/>
    </row>
    <row r="319" spans="1:17" x14ac:dyDescent="0.45">
      <c r="B319" s="3"/>
      <c r="D319" s="3"/>
      <c r="E319" s="3"/>
      <c r="N319" s="3"/>
      <c r="O319" s="3"/>
    </row>
    <row r="320" spans="1:17" x14ac:dyDescent="0.45">
      <c r="B320" s="3"/>
      <c r="D320" s="3"/>
      <c r="E320" s="3"/>
      <c r="N320" s="3"/>
      <c r="O320" s="3"/>
    </row>
    <row r="321" spans="2:15" x14ac:dyDescent="0.45">
      <c r="B321" s="3"/>
      <c r="D321" s="3"/>
      <c r="E321" s="3"/>
      <c r="N321" s="3"/>
      <c r="O321" s="3"/>
    </row>
    <row r="322" spans="2:15" x14ac:dyDescent="0.45">
      <c r="B322" s="3"/>
      <c r="D322" s="3"/>
      <c r="E322" s="3"/>
      <c r="N322" s="3"/>
      <c r="O322" s="3"/>
    </row>
    <row r="323" spans="2:15" x14ac:dyDescent="0.45">
      <c r="B323" s="3"/>
      <c r="D323" s="3"/>
      <c r="E323" s="3"/>
      <c r="N323" s="3"/>
      <c r="O323" s="3"/>
    </row>
    <row r="324" spans="2:15" x14ac:dyDescent="0.45">
      <c r="B324" s="3"/>
      <c r="D324" s="3"/>
      <c r="E324" s="3"/>
      <c r="N324" s="3"/>
      <c r="O324" s="3"/>
    </row>
    <row r="325" spans="2:15" x14ac:dyDescent="0.45">
      <c r="B325" s="3"/>
      <c r="D325" s="3"/>
      <c r="E325" s="3"/>
      <c r="N325" s="3"/>
      <c r="O325" s="3"/>
    </row>
    <row r="326" spans="2:15" x14ac:dyDescent="0.45">
      <c r="B326" s="3"/>
      <c r="D326" s="3"/>
      <c r="E326" s="3"/>
      <c r="N326" s="3"/>
      <c r="O326" s="3"/>
    </row>
    <row r="327" spans="2:15" x14ac:dyDescent="0.45">
      <c r="B327" s="3"/>
      <c r="D327" s="3"/>
      <c r="E327" s="3"/>
      <c r="N327" s="3"/>
      <c r="O327" s="3"/>
    </row>
    <row r="328" spans="2:15" x14ac:dyDescent="0.45">
      <c r="B328" s="3"/>
      <c r="D328" s="3"/>
      <c r="E328" s="3"/>
      <c r="N328" s="3"/>
      <c r="O328" s="3"/>
    </row>
    <row r="329" spans="2:15" x14ac:dyDescent="0.45">
      <c r="B329" s="3"/>
      <c r="D329" s="3"/>
      <c r="E329" s="3"/>
      <c r="N329" s="3"/>
      <c r="O329" s="3"/>
    </row>
    <row r="330" spans="2:15" x14ac:dyDescent="0.45">
      <c r="B330" s="3"/>
      <c r="D330" s="3"/>
      <c r="E330" s="3"/>
      <c r="N330" s="3"/>
      <c r="O330" s="3"/>
    </row>
    <row r="331" spans="2:15" x14ac:dyDescent="0.45">
      <c r="B331" s="3"/>
      <c r="D331" s="3"/>
      <c r="E331" s="3"/>
      <c r="N331" s="3"/>
      <c r="O331" s="3"/>
    </row>
    <row r="332" spans="2:15" x14ac:dyDescent="0.45">
      <c r="B332" s="3"/>
      <c r="D332" s="3"/>
      <c r="E332" s="3"/>
      <c r="N332" s="3"/>
      <c r="O332" s="3"/>
    </row>
    <row r="333" spans="2:15" x14ac:dyDescent="0.45">
      <c r="B333" s="3"/>
      <c r="D333" s="3"/>
      <c r="E333" s="3"/>
      <c r="N333" s="3"/>
      <c r="O333" s="3"/>
    </row>
    <row r="334" spans="2:15" x14ac:dyDescent="0.45">
      <c r="B334" s="3"/>
      <c r="D334" s="3"/>
      <c r="E334" s="3"/>
      <c r="N334" s="3"/>
      <c r="O334" s="3"/>
    </row>
    <row r="335" spans="2:15" x14ac:dyDescent="0.45">
      <c r="B335" s="3"/>
      <c r="D335" s="3"/>
      <c r="E335" s="3"/>
      <c r="N335" s="3"/>
      <c r="O335" s="3"/>
    </row>
    <row r="336" spans="2:15" x14ac:dyDescent="0.45">
      <c r="B336" s="3"/>
      <c r="D336" s="3"/>
      <c r="E336" s="3"/>
      <c r="N336" s="3"/>
      <c r="O336" s="3"/>
    </row>
    <row r="337" spans="2:15" x14ac:dyDescent="0.45">
      <c r="B337" s="3"/>
      <c r="D337" s="3"/>
      <c r="E337" s="3"/>
      <c r="N337" s="3"/>
      <c r="O337" s="3"/>
    </row>
    <row r="338" spans="2:15" x14ac:dyDescent="0.45">
      <c r="B338" s="3"/>
      <c r="D338" s="3"/>
      <c r="E338" s="3"/>
      <c r="N338" s="3"/>
      <c r="O338" s="3"/>
    </row>
    <row r="339" spans="2:15" x14ac:dyDescent="0.45">
      <c r="B339" s="3"/>
      <c r="D339" s="3"/>
      <c r="E339" s="3"/>
      <c r="N339" s="3"/>
      <c r="O339" s="3"/>
    </row>
    <row r="340" spans="2:15" x14ac:dyDescent="0.45">
      <c r="B340" s="3"/>
      <c r="D340" s="3"/>
      <c r="E340" s="3"/>
      <c r="N340" s="3"/>
      <c r="O340" s="3"/>
    </row>
    <row r="341" spans="2:15" x14ac:dyDescent="0.45">
      <c r="B341" s="3"/>
      <c r="D341" s="3"/>
      <c r="E341" s="3"/>
      <c r="N341" s="3"/>
      <c r="O341" s="3"/>
    </row>
    <row r="342" spans="2:15" x14ac:dyDescent="0.45">
      <c r="B342" s="3"/>
      <c r="D342" s="3"/>
      <c r="E342" s="3"/>
      <c r="N342" s="3"/>
      <c r="O342" s="3"/>
    </row>
    <row r="343" spans="2:15" x14ac:dyDescent="0.45">
      <c r="B343" s="3"/>
      <c r="D343" s="3"/>
      <c r="E343" s="3"/>
      <c r="N343" s="3"/>
      <c r="O343" s="3"/>
    </row>
    <row r="344" spans="2:15" x14ac:dyDescent="0.45">
      <c r="B344" s="3"/>
      <c r="D344" s="3"/>
      <c r="E344" s="3"/>
      <c r="N344" s="3"/>
      <c r="O344" s="3"/>
    </row>
    <row r="345" spans="2:15" x14ac:dyDescent="0.45">
      <c r="B345" s="3"/>
      <c r="D345" s="3"/>
      <c r="E345" s="3"/>
      <c r="N345" s="3"/>
      <c r="O345" s="3"/>
    </row>
    <row r="346" spans="2:15" x14ac:dyDescent="0.45">
      <c r="B346" s="3"/>
      <c r="D346" s="3"/>
      <c r="E346" s="3"/>
      <c r="N346" s="3"/>
      <c r="O346" s="3"/>
    </row>
    <row r="347" spans="2:15" x14ac:dyDescent="0.45">
      <c r="B347" s="3"/>
      <c r="D347" s="3"/>
      <c r="E347" s="3"/>
      <c r="N347" s="3"/>
      <c r="O347" s="3"/>
    </row>
    <row r="348" spans="2:15" x14ac:dyDescent="0.45">
      <c r="B348" s="3"/>
      <c r="D348" s="3"/>
      <c r="E348" s="3"/>
      <c r="N348" s="3"/>
      <c r="O348" s="3"/>
    </row>
    <row r="349" spans="2:15" x14ac:dyDescent="0.45">
      <c r="B349" s="3"/>
      <c r="D349" s="3"/>
      <c r="E349" s="3"/>
      <c r="N349" s="3"/>
      <c r="O349" s="3"/>
    </row>
    <row r="350" spans="2:15" x14ac:dyDescent="0.45">
      <c r="B350" s="3"/>
      <c r="D350" s="3"/>
      <c r="E350" s="3"/>
      <c r="N350" s="3"/>
      <c r="O350" s="3"/>
    </row>
    <row r="351" spans="2:15" x14ac:dyDescent="0.45">
      <c r="B351" s="3"/>
      <c r="D351" s="3"/>
      <c r="E351" s="3"/>
      <c r="N351" s="3"/>
      <c r="O351" s="3"/>
    </row>
    <row r="352" spans="2:15" x14ac:dyDescent="0.45">
      <c r="B352" s="3"/>
      <c r="D352" s="3"/>
      <c r="E352" s="3"/>
      <c r="N352" s="3"/>
      <c r="O352" s="3"/>
    </row>
    <row r="353" spans="2:15" x14ac:dyDescent="0.45">
      <c r="B353" s="3"/>
      <c r="D353" s="3"/>
      <c r="E353" s="3"/>
      <c r="N353" s="3"/>
      <c r="O353" s="3"/>
    </row>
    <row r="354" spans="2:15" x14ac:dyDescent="0.45">
      <c r="B354" s="3"/>
      <c r="D354" s="3"/>
      <c r="E354" s="3"/>
      <c r="N354" s="3"/>
      <c r="O354" s="3"/>
    </row>
    <row r="355" spans="2:15" x14ac:dyDescent="0.45">
      <c r="B355" s="3"/>
      <c r="D355" s="3"/>
      <c r="E355" s="3"/>
      <c r="N355" s="3"/>
      <c r="O355" s="3"/>
    </row>
    <row r="356" spans="2:15" x14ac:dyDescent="0.45">
      <c r="B356" s="3"/>
      <c r="D356" s="3"/>
      <c r="E356" s="3"/>
      <c r="N356" s="3"/>
      <c r="O356" s="3"/>
    </row>
    <row r="357" spans="2:15" x14ac:dyDescent="0.45">
      <c r="B357" s="3"/>
      <c r="D357" s="3"/>
      <c r="E357" s="3"/>
      <c r="N357" s="3"/>
      <c r="O357" s="3"/>
    </row>
    <row r="358" spans="2:15" x14ac:dyDescent="0.45">
      <c r="B358" s="3"/>
      <c r="D358" s="3"/>
      <c r="E358" s="3"/>
      <c r="N358" s="3"/>
      <c r="O358" s="3"/>
    </row>
    <row r="359" spans="2:15" x14ac:dyDescent="0.45">
      <c r="B359" s="3"/>
      <c r="D359" s="3"/>
      <c r="E359" s="3"/>
      <c r="N359" s="3"/>
      <c r="O359" s="3"/>
    </row>
    <row r="360" spans="2:15" x14ac:dyDescent="0.45">
      <c r="B360" s="3"/>
      <c r="D360" s="3"/>
      <c r="E360" s="3"/>
      <c r="N360" s="3"/>
      <c r="O360" s="3"/>
    </row>
    <row r="361" spans="2:15" x14ac:dyDescent="0.45">
      <c r="B361" s="3"/>
      <c r="D361" s="3"/>
      <c r="E361" s="3"/>
      <c r="N361" s="3"/>
      <c r="O361" s="3"/>
    </row>
    <row r="362" spans="2:15" x14ac:dyDescent="0.45">
      <c r="B362" s="3"/>
      <c r="D362" s="3"/>
      <c r="E362" s="3"/>
      <c r="N362" s="3"/>
      <c r="O362" s="3"/>
    </row>
    <row r="363" spans="2:15" x14ac:dyDescent="0.45">
      <c r="B363" s="3"/>
      <c r="D363" s="3"/>
      <c r="E363" s="3"/>
      <c r="N363" s="3"/>
      <c r="O363" s="3"/>
    </row>
    <row r="364" spans="2:15" x14ac:dyDescent="0.45">
      <c r="B364" s="3"/>
      <c r="D364" s="3"/>
      <c r="E364" s="3"/>
      <c r="N364" s="3"/>
      <c r="O364" s="3"/>
    </row>
    <row r="365" spans="2:15" x14ac:dyDescent="0.45">
      <c r="B365" s="3"/>
      <c r="D365" s="3"/>
      <c r="E365" s="3"/>
      <c r="N365" s="3"/>
      <c r="O365" s="3"/>
    </row>
    <row r="366" spans="2:15" x14ac:dyDescent="0.45">
      <c r="B366" s="3"/>
      <c r="D366" s="3"/>
      <c r="E366" s="3"/>
      <c r="N366" s="3"/>
      <c r="O366" s="3"/>
    </row>
    <row r="367" spans="2:15" x14ac:dyDescent="0.45">
      <c r="B367" s="3"/>
      <c r="D367" s="3"/>
      <c r="E367" s="3"/>
      <c r="N367" s="3"/>
      <c r="O367" s="3"/>
    </row>
    <row r="368" spans="2:15" x14ac:dyDescent="0.45">
      <c r="B368" s="3"/>
      <c r="D368" s="3"/>
      <c r="E368" s="3"/>
      <c r="N368" s="3"/>
      <c r="O368" s="3"/>
    </row>
    <row r="369" spans="2:15" x14ac:dyDescent="0.45">
      <c r="B369" s="3"/>
      <c r="D369" s="3"/>
      <c r="E369" s="3"/>
      <c r="N369" s="3"/>
      <c r="O369" s="3"/>
    </row>
    <row r="370" spans="2:15" x14ac:dyDescent="0.45">
      <c r="B370" s="3"/>
      <c r="D370" s="3"/>
      <c r="E370" s="3"/>
      <c r="N370" s="3"/>
      <c r="O370" s="3"/>
    </row>
    <row r="371" spans="2:15" x14ac:dyDescent="0.45">
      <c r="B371" s="3"/>
      <c r="D371" s="3"/>
      <c r="E371" s="3"/>
      <c r="N371" s="3"/>
      <c r="O371" s="3"/>
    </row>
    <row r="372" spans="2:15" x14ac:dyDescent="0.45">
      <c r="B372" s="3"/>
      <c r="D372" s="3"/>
      <c r="E372" s="3"/>
      <c r="N372" s="3"/>
      <c r="O372" s="3"/>
    </row>
    <row r="373" spans="2:15" x14ac:dyDescent="0.45">
      <c r="B373" s="3"/>
      <c r="D373" s="3"/>
      <c r="E373" s="3"/>
      <c r="N373" s="3"/>
      <c r="O373" s="3"/>
    </row>
    <row r="374" spans="2:15" x14ac:dyDescent="0.45">
      <c r="B374" s="3"/>
      <c r="D374" s="3"/>
      <c r="E374" s="3"/>
      <c r="N374" s="3"/>
      <c r="O374" s="3"/>
    </row>
    <row r="375" spans="2:15" x14ac:dyDescent="0.45">
      <c r="B375" s="3"/>
      <c r="D375" s="3"/>
      <c r="E375" s="3"/>
      <c r="N375" s="3"/>
      <c r="O375" s="3"/>
    </row>
    <row r="376" spans="2:15" x14ac:dyDescent="0.45">
      <c r="B376" s="3"/>
      <c r="D376" s="3"/>
      <c r="E376" s="3"/>
      <c r="N376" s="3"/>
      <c r="O376" s="3"/>
    </row>
    <row r="377" spans="2:15" x14ac:dyDescent="0.45">
      <c r="B377" s="3"/>
      <c r="D377" s="3"/>
      <c r="E377" s="3"/>
      <c r="N377" s="3"/>
      <c r="O377" s="3"/>
    </row>
    <row r="378" spans="2:15" x14ac:dyDescent="0.45">
      <c r="B378" s="3"/>
      <c r="D378" s="3"/>
      <c r="E378" s="3"/>
      <c r="N378" s="3"/>
      <c r="O378" s="3"/>
    </row>
    <row r="379" spans="2:15" x14ac:dyDescent="0.45">
      <c r="B379" s="3"/>
      <c r="D379" s="3"/>
      <c r="E379" s="3"/>
      <c r="H379" t="s">
        <v>689</v>
      </c>
      <c r="N379" s="3"/>
      <c r="O379" s="3"/>
    </row>
    <row r="380" spans="2:15" x14ac:dyDescent="0.45">
      <c r="B380" s="3"/>
      <c r="D380" s="3"/>
      <c r="E380" s="3"/>
      <c r="N380" s="3"/>
      <c r="O380" s="3"/>
    </row>
    <row r="381" spans="2:15" x14ac:dyDescent="0.45">
      <c r="B381" s="3"/>
      <c r="D381" s="3"/>
      <c r="E381" s="3"/>
      <c r="N381" s="3"/>
      <c r="O381" s="3"/>
    </row>
    <row r="382" spans="2:15" x14ac:dyDescent="0.45">
      <c r="B382" s="3"/>
      <c r="D382" s="3"/>
      <c r="E382" s="3"/>
      <c r="N382" s="3"/>
      <c r="O382" s="3"/>
    </row>
    <row r="383" spans="2:15" x14ac:dyDescent="0.45">
      <c r="B383" s="3"/>
      <c r="D383" s="3"/>
      <c r="E383" s="3"/>
      <c r="N383" s="3"/>
      <c r="O383" s="3"/>
    </row>
    <row r="384" spans="2:15" x14ac:dyDescent="0.45">
      <c r="B384" s="3"/>
      <c r="D384" s="3"/>
      <c r="E384" s="3"/>
      <c r="N384" s="3"/>
      <c r="O384" s="3"/>
    </row>
    <row r="385" spans="2:15" x14ac:dyDescent="0.45">
      <c r="B385" s="3"/>
      <c r="D385" s="3"/>
      <c r="E385" s="3"/>
      <c r="N385" s="3"/>
      <c r="O385" s="3"/>
    </row>
    <row r="386" spans="2:15" x14ac:dyDescent="0.45">
      <c r="B386" s="3"/>
      <c r="D386" s="3"/>
      <c r="E386" s="3"/>
      <c r="N386" s="3"/>
      <c r="O386" s="3"/>
    </row>
    <row r="387" spans="2:15" x14ac:dyDescent="0.45">
      <c r="B387" s="3"/>
      <c r="D387" s="3"/>
      <c r="E387" s="3"/>
      <c r="N387" s="3"/>
      <c r="O387" s="3"/>
    </row>
    <row r="388" spans="2:15" x14ac:dyDescent="0.45">
      <c r="B388" s="3"/>
      <c r="D388" s="3"/>
      <c r="E388" s="3"/>
      <c r="N388" s="3"/>
      <c r="O388" s="3"/>
    </row>
    <row r="389" spans="2:15" x14ac:dyDescent="0.45">
      <c r="B389" s="3"/>
      <c r="D389" s="3"/>
      <c r="E389" s="3"/>
      <c r="N389" s="3"/>
      <c r="O389" s="3"/>
    </row>
    <row r="390" spans="2:15" x14ac:dyDescent="0.45">
      <c r="B390" s="3"/>
      <c r="D390" s="3"/>
      <c r="E390" s="3"/>
      <c r="N390" s="3"/>
      <c r="O390" s="3"/>
    </row>
    <row r="391" spans="2:15" x14ac:dyDescent="0.45">
      <c r="B391" s="3"/>
      <c r="D391" s="3"/>
      <c r="E391" s="3"/>
      <c r="N391" s="3"/>
      <c r="O391" s="3"/>
    </row>
    <row r="392" spans="2:15" x14ac:dyDescent="0.45">
      <c r="B392" s="3"/>
      <c r="D392" s="3"/>
      <c r="E392" s="3"/>
      <c r="N392" s="3"/>
      <c r="O392" s="3"/>
    </row>
    <row r="393" spans="2:15" x14ac:dyDescent="0.45">
      <c r="B393" s="3"/>
      <c r="D393" s="3"/>
      <c r="E393" s="3"/>
      <c r="N393" s="3"/>
      <c r="O393" s="3"/>
    </row>
    <row r="394" spans="2:15" x14ac:dyDescent="0.45">
      <c r="B394" s="3"/>
      <c r="D394" s="3"/>
      <c r="E394" s="3"/>
      <c r="N394" s="3"/>
      <c r="O394" s="3"/>
    </row>
    <row r="395" spans="2:15" x14ac:dyDescent="0.45">
      <c r="B395" s="3"/>
      <c r="D395" s="3"/>
      <c r="E395" s="3"/>
      <c r="N395" s="3"/>
      <c r="O395" s="3"/>
    </row>
    <row r="396" spans="2:15" x14ac:dyDescent="0.45">
      <c r="B396" s="3"/>
      <c r="D396" s="3"/>
      <c r="E396" s="3"/>
      <c r="N396" s="3"/>
      <c r="O396" s="3"/>
    </row>
    <row r="397" spans="2:15" x14ac:dyDescent="0.45">
      <c r="B397" s="3"/>
      <c r="D397" s="3"/>
      <c r="E397" s="3"/>
      <c r="N397" s="3"/>
      <c r="O397" s="3"/>
    </row>
    <row r="398" spans="2:15" x14ac:dyDescent="0.45">
      <c r="B398" s="3"/>
      <c r="D398" s="3"/>
      <c r="E398" s="3"/>
      <c r="N398" s="3"/>
      <c r="O398" s="3"/>
    </row>
    <row r="399" spans="2:15" x14ac:dyDescent="0.45">
      <c r="B399" s="3"/>
      <c r="D399" s="3"/>
      <c r="E399" s="3"/>
      <c r="N399" s="3"/>
      <c r="O399" s="3"/>
    </row>
    <row r="400" spans="2:15" x14ac:dyDescent="0.45">
      <c r="B400" s="3"/>
      <c r="D400" s="3"/>
      <c r="E400" s="3"/>
      <c r="N400" s="3"/>
      <c r="O400" s="3"/>
    </row>
    <row r="401" spans="2:15" x14ac:dyDescent="0.45">
      <c r="B401" s="3"/>
      <c r="D401" s="3"/>
      <c r="E401" s="3"/>
      <c r="N401" s="3"/>
      <c r="O401" s="3"/>
    </row>
    <row r="402" spans="2:15" x14ac:dyDescent="0.45">
      <c r="B402" s="3"/>
      <c r="D402" s="3"/>
      <c r="E402" s="3"/>
      <c r="N402" s="3"/>
      <c r="O402" s="3"/>
    </row>
    <row r="403" spans="2:15" x14ac:dyDescent="0.45">
      <c r="B403" s="3"/>
      <c r="D403" s="3"/>
      <c r="E403" s="3"/>
      <c r="N403" s="3"/>
      <c r="O403" s="3"/>
    </row>
    <row r="404" spans="2:15" x14ac:dyDescent="0.45">
      <c r="B404" s="3"/>
      <c r="D404" s="3"/>
      <c r="E404" s="3"/>
      <c r="N404" s="3"/>
      <c r="O404" s="3"/>
    </row>
    <row r="405" spans="2:15" x14ac:dyDescent="0.45">
      <c r="B405" s="3"/>
      <c r="D405" s="3"/>
      <c r="E405" s="3"/>
      <c r="N405" s="3"/>
      <c r="O405" s="3"/>
    </row>
    <row r="406" spans="2:15" x14ac:dyDescent="0.45">
      <c r="B406" s="3"/>
      <c r="D406" s="3"/>
      <c r="E406" s="3"/>
      <c r="N406" s="3"/>
      <c r="O406" s="3"/>
    </row>
    <row r="407" spans="2:15" x14ac:dyDescent="0.45">
      <c r="B407" s="3"/>
      <c r="D407" s="3"/>
      <c r="E407" s="3"/>
      <c r="N407" s="3"/>
      <c r="O407" s="3"/>
    </row>
    <row r="408" spans="2:15" x14ac:dyDescent="0.45">
      <c r="B408" s="3"/>
      <c r="D408" s="3"/>
      <c r="E408" s="3"/>
      <c r="N408" s="3"/>
      <c r="O408" s="3"/>
    </row>
    <row r="409" spans="2:15" x14ac:dyDescent="0.45">
      <c r="B409" s="3"/>
      <c r="D409" s="3"/>
      <c r="E409" s="3"/>
      <c r="N409" s="3"/>
      <c r="O409" s="3"/>
    </row>
    <row r="410" spans="2:15" x14ac:dyDescent="0.45">
      <c r="B410" s="3"/>
      <c r="D410" s="3"/>
      <c r="E410" s="3"/>
      <c r="N410" s="3"/>
      <c r="O410" s="3"/>
    </row>
    <row r="411" spans="2:15" x14ac:dyDescent="0.45">
      <c r="B411" s="3"/>
      <c r="D411" s="3"/>
      <c r="E411" s="3"/>
      <c r="N411" s="3"/>
      <c r="O411" s="3"/>
    </row>
    <row r="412" spans="2:15" x14ac:dyDescent="0.45">
      <c r="B412" s="3"/>
      <c r="D412" s="3"/>
      <c r="E412" s="3"/>
      <c r="N412" s="3"/>
      <c r="O412" s="3"/>
    </row>
    <row r="413" spans="2:15" x14ac:dyDescent="0.45">
      <c r="B413" s="3"/>
      <c r="D413" s="3"/>
      <c r="E413" s="3"/>
      <c r="N413" s="3"/>
      <c r="O413" s="3"/>
    </row>
    <row r="414" spans="2:15" x14ac:dyDescent="0.45">
      <c r="B414" s="3"/>
      <c r="D414" s="3"/>
      <c r="E414" s="3"/>
      <c r="N414" s="3"/>
      <c r="O414" s="3"/>
    </row>
    <row r="415" spans="2:15" x14ac:dyDescent="0.45">
      <c r="B415" s="3"/>
      <c r="D415" s="3"/>
      <c r="E415" s="3"/>
      <c r="N415" s="3"/>
      <c r="O415" s="3"/>
    </row>
    <row r="416" spans="2:15" x14ac:dyDescent="0.45">
      <c r="B416" s="3"/>
      <c r="D416" s="3"/>
      <c r="E416" s="3"/>
      <c r="N416" s="3"/>
      <c r="O416" s="3"/>
    </row>
    <row r="417" spans="2:15" x14ac:dyDescent="0.45">
      <c r="B417" s="3"/>
      <c r="D417" s="3"/>
      <c r="E417" s="3"/>
      <c r="N417" s="3"/>
      <c r="O417" s="3"/>
    </row>
    <row r="418" spans="2:15" x14ac:dyDescent="0.45">
      <c r="B418" s="3"/>
      <c r="D418" s="3"/>
      <c r="E418" s="3"/>
      <c r="N418" s="3"/>
      <c r="O418" s="3"/>
    </row>
    <row r="419" spans="2:15" x14ac:dyDescent="0.45">
      <c r="B419" s="3"/>
      <c r="D419" s="3"/>
      <c r="E419" s="3"/>
      <c r="N419" s="3"/>
      <c r="O419" s="3"/>
    </row>
    <row r="420" spans="2:15" x14ac:dyDescent="0.45">
      <c r="B420" s="3"/>
      <c r="D420" s="3"/>
      <c r="E420" s="3"/>
      <c r="N420" s="3"/>
      <c r="O420" s="3"/>
    </row>
    <row r="421" spans="2:15" x14ac:dyDescent="0.45">
      <c r="B421" s="3"/>
      <c r="D421" s="3"/>
      <c r="E421" s="3"/>
      <c r="N421" s="3"/>
      <c r="O421" s="3"/>
    </row>
    <row r="422" spans="2:15" x14ac:dyDescent="0.45">
      <c r="B422" s="3"/>
      <c r="D422" s="3"/>
      <c r="E422" s="3"/>
      <c r="N422" s="3"/>
      <c r="O422" s="3"/>
    </row>
    <row r="423" spans="2:15" x14ac:dyDescent="0.45">
      <c r="B423" s="3"/>
      <c r="D423" s="3"/>
      <c r="E423" s="3"/>
      <c r="N423" s="3"/>
      <c r="O423" s="3"/>
    </row>
    <row r="424" spans="2:15" x14ac:dyDescent="0.45">
      <c r="B424" s="3"/>
      <c r="D424" s="3"/>
      <c r="E424" s="3"/>
      <c r="N424" s="3"/>
      <c r="O424" s="3"/>
    </row>
    <row r="425" spans="2:15" x14ac:dyDescent="0.45">
      <c r="B425" s="3"/>
      <c r="D425" s="3"/>
      <c r="E425" s="3"/>
      <c r="N425" s="3"/>
      <c r="O425" s="3"/>
    </row>
    <row r="426" spans="2:15" x14ac:dyDescent="0.45">
      <c r="B426" s="3"/>
      <c r="D426" s="3"/>
      <c r="E426" s="3"/>
      <c r="N426" s="3"/>
      <c r="O426" s="3"/>
    </row>
    <row r="427" spans="2:15" x14ac:dyDescent="0.45">
      <c r="B427" s="3"/>
      <c r="D427" s="3"/>
      <c r="E427" s="3"/>
      <c r="N427" s="3"/>
      <c r="O427" s="3"/>
    </row>
    <row r="428" spans="2:15" x14ac:dyDescent="0.45">
      <c r="B428" s="3"/>
      <c r="D428" s="3"/>
      <c r="E428" s="3"/>
      <c r="N428" s="3"/>
      <c r="O428" s="3"/>
    </row>
    <row r="429" spans="2:15" x14ac:dyDescent="0.45">
      <c r="B429" s="3"/>
      <c r="D429" s="3"/>
      <c r="E429" s="3"/>
      <c r="N429" s="3"/>
      <c r="O429" s="3"/>
    </row>
    <row r="430" spans="2:15" x14ac:dyDescent="0.45">
      <c r="B430" s="3"/>
      <c r="D430" s="3"/>
      <c r="E430" s="3"/>
      <c r="N430" s="3"/>
      <c r="O430" s="3"/>
    </row>
    <row r="431" spans="2:15" x14ac:dyDescent="0.45">
      <c r="B431" s="3"/>
      <c r="D431" s="3"/>
      <c r="E431" s="3"/>
      <c r="N431" s="3"/>
      <c r="O431" s="3"/>
    </row>
    <row r="432" spans="2:15" x14ac:dyDescent="0.45">
      <c r="B432" s="3"/>
      <c r="D432" s="3"/>
      <c r="E432" s="3"/>
      <c r="N432" s="3"/>
      <c r="O432" s="3"/>
    </row>
    <row r="433" spans="2:15" x14ac:dyDescent="0.45">
      <c r="B433" s="3"/>
      <c r="D433" s="3"/>
      <c r="E433" s="3"/>
      <c r="N433" s="3"/>
      <c r="O433" s="3"/>
    </row>
    <row r="434" spans="2:15" x14ac:dyDescent="0.45">
      <c r="B434" s="3"/>
      <c r="D434" s="3"/>
      <c r="E434" s="3"/>
      <c r="N434" s="3"/>
      <c r="O434" s="3"/>
    </row>
    <row r="435" spans="2:15" x14ac:dyDescent="0.45">
      <c r="B435" s="3"/>
      <c r="D435" s="3"/>
      <c r="E435" s="3"/>
      <c r="N435" s="3"/>
      <c r="O435" s="3"/>
    </row>
    <row r="436" spans="2:15" x14ac:dyDescent="0.45">
      <c r="B436" s="3"/>
      <c r="D436" s="3"/>
      <c r="E436" s="3"/>
      <c r="N436" s="3"/>
      <c r="O436" s="3"/>
    </row>
    <row r="437" spans="2:15" x14ac:dyDescent="0.45">
      <c r="B437" s="3"/>
      <c r="D437" s="3"/>
      <c r="E437" s="3"/>
      <c r="N437" s="3"/>
      <c r="O437" s="3"/>
    </row>
    <row r="438" spans="2:15" x14ac:dyDescent="0.45">
      <c r="B438" s="3"/>
      <c r="D438" s="3"/>
      <c r="E438" s="3"/>
      <c r="N438" s="3"/>
      <c r="O438" s="3"/>
    </row>
    <row r="439" spans="2:15" x14ac:dyDescent="0.45">
      <c r="B439" s="3"/>
      <c r="D439" s="3"/>
      <c r="E439" s="3"/>
      <c r="N439" s="3"/>
      <c r="O439" s="3"/>
    </row>
    <row r="440" spans="2:15" x14ac:dyDescent="0.45">
      <c r="B440" s="3"/>
      <c r="D440" s="3"/>
      <c r="E440" s="3"/>
      <c r="N440" s="3"/>
      <c r="O440" s="3"/>
    </row>
    <row r="441" spans="2:15" x14ac:dyDescent="0.45">
      <c r="B441" s="3"/>
      <c r="D441" s="3"/>
      <c r="E441" s="3"/>
      <c r="N441" s="3"/>
      <c r="O441" s="3"/>
    </row>
    <row r="442" spans="2:15" x14ac:dyDescent="0.45">
      <c r="B442" s="3"/>
      <c r="D442" s="3"/>
      <c r="E442" s="3"/>
      <c r="N442" s="3"/>
      <c r="O442" s="3"/>
    </row>
    <row r="443" spans="2:15" x14ac:dyDescent="0.45">
      <c r="B443" s="3"/>
      <c r="D443" s="3"/>
      <c r="E443" s="3"/>
      <c r="N443" s="3"/>
      <c r="O443" s="3"/>
    </row>
    <row r="444" spans="2:15" x14ac:dyDescent="0.45">
      <c r="B444" s="3"/>
      <c r="D444" s="3"/>
      <c r="E444" s="3"/>
      <c r="N444" s="3"/>
      <c r="O444" s="3"/>
    </row>
    <row r="445" spans="2:15" x14ac:dyDescent="0.45">
      <c r="B445" s="3"/>
      <c r="D445" s="3"/>
      <c r="E445" s="3"/>
      <c r="N445" s="3"/>
      <c r="O445" s="3"/>
    </row>
    <row r="446" spans="2:15" x14ac:dyDescent="0.45">
      <c r="B446" s="3"/>
      <c r="D446" s="3"/>
      <c r="E446" s="3"/>
      <c r="N446" s="3"/>
      <c r="O446" s="3"/>
    </row>
    <row r="447" spans="2:15" x14ac:dyDescent="0.45">
      <c r="B447" s="3"/>
      <c r="D447" s="3"/>
      <c r="E447" s="3"/>
      <c r="N447" s="3"/>
      <c r="O447" s="3"/>
    </row>
    <row r="448" spans="2:15" x14ac:dyDescent="0.45">
      <c r="B448" s="3"/>
      <c r="D448" s="3"/>
      <c r="E448" s="3"/>
      <c r="N448" s="3"/>
      <c r="O448" s="3"/>
    </row>
    <row r="449" spans="2:15" x14ac:dyDescent="0.45">
      <c r="B449" s="3"/>
      <c r="D449" s="3"/>
      <c r="E449" s="3"/>
      <c r="N449" s="3"/>
      <c r="O449" s="3"/>
    </row>
    <row r="450" spans="2:15" x14ac:dyDescent="0.45">
      <c r="B450" s="3"/>
      <c r="D450" s="3"/>
      <c r="E450" s="3"/>
      <c r="N450" s="3"/>
      <c r="O450" s="3"/>
    </row>
    <row r="451" spans="2:15" x14ac:dyDescent="0.45">
      <c r="B451" s="3"/>
      <c r="D451" s="3"/>
      <c r="E451" s="3"/>
      <c r="N451" s="3"/>
      <c r="O451" s="3"/>
    </row>
    <row r="452" spans="2:15" x14ac:dyDescent="0.45">
      <c r="B452" s="3"/>
      <c r="D452" s="3"/>
      <c r="E452" s="3"/>
      <c r="N452" s="3"/>
      <c r="O452" s="3"/>
    </row>
    <row r="453" spans="2:15" x14ac:dyDescent="0.45">
      <c r="B453" s="3"/>
      <c r="D453" s="3"/>
      <c r="E453" s="3"/>
      <c r="N453" s="3"/>
      <c r="O453" s="3"/>
    </row>
    <row r="454" spans="2:15" x14ac:dyDescent="0.45">
      <c r="B454" s="3"/>
      <c r="D454" s="3"/>
      <c r="E454" s="3"/>
      <c r="N454" s="3"/>
      <c r="O454" s="3"/>
    </row>
    <row r="455" spans="2:15" x14ac:dyDescent="0.45">
      <c r="B455" s="3"/>
      <c r="D455" s="3"/>
      <c r="E455" s="3"/>
      <c r="N455" s="3"/>
      <c r="O455" s="3"/>
    </row>
    <row r="456" spans="2:15" x14ac:dyDescent="0.45">
      <c r="B456" s="3"/>
      <c r="D456" s="3"/>
      <c r="E456" s="3"/>
      <c r="N456" s="3"/>
      <c r="O456" s="3"/>
    </row>
    <row r="457" spans="2:15" x14ac:dyDescent="0.45">
      <c r="B457" s="3"/>
      <c r="D457" s="3"/>
      <c r="E457" s="3"/>
      <c r="N457" s="3"/>
      <c r="O457" s="3"/>
    </row>
    <row r="458" spans="2:15" x14ac:dyDescent="0.45">
      <c r="B458" s="3"/>
      <c r="D458" s="3"/>
      <c r="E458" s="3"/>
      <c r="N458" s="3"/>
      <c r="O458" s="3"/>
    </row>
    <row r="459" spans="2:15" x14ac:dyDescent="0.45">
      <c r="B459" s="3"/>
      <c r="D459" s="3"/>
      <c r="E459" s="3"/>
      <c r="N459" s="3"/>
      <c r="O459" s="3"/>
    </row>
    <row r="460" spans="2:15" x14ac:dyDescent="0.45">
      <c r="B460" s="3"/>
      <c r="D460" s="3"/>
      <c r="E460" s="3"/>
      <c r="N460" s="3"/>
      <c r="O460" s="3"/>
    </row>
    <row r="461" spans="2:15" x14ac:dyDescent="0.45">
      <c r="B461" s="3"/>
      <c r="D461" s="3"/>
      <c r="E461" s="3"/>
      <c r="N461" s="3"/>
      <c r="O461" s="3"/>
    </row>
    <row r="462" spans="2:15" x14ac:dyDescent="0.45">
      <c r="B462" s="3"/>
      <c r="D462" s="3"/>
      <c r="E462" s="3"/>
      <c r="N462" s="3"/>
      <c r="O462" s="3"/>
    </row>
    <row r="463" spans="2:15" x14ac:dyDescent="0.45">
      <c r="B463" s="3"/>
      <c r="D463" s="3"/>
      <c r="E463" s="3"/>
      <c r="N463" s="3"/>
      <c r="O463" s="3"/>
    </row>
    <row r="464" spans="2:15" x14ac:dyDescent="0.45">
      <c r="B464" s="3"/>
      <c r="D464" s="3"/>
      <c r="E464" s="3"/>
      <c r="N464" s="3"/>
      <c r="O464" s="3"/>
    </row>
    <row r="465" spans="2:15" x14ac:dyDescent="0.45">
      <c r="B465" s="3"/>
      <c r="D465" s="3"/>
      <c r="E465" s="3"/>
      <c r="N465" s="3"/>
      <c r="O465" s="3"/>
    </row>
    <row r="466" spans="2:15" x14ac:dyDescent="0.45">
      <c r="B466" s="3"/>
      <c r="D466" s="3"/>
      <c r="E466" s="3"/>
      <c r="N466" s="3"/>
      <c r="O466" s="3"/>
    </row>
    <row r="467" spans="2:15" x14ac:dyDescent="0.45">
      <c r="B467" s="3"/>
      <c r="D467" s="3"/>
      <c r="E467" s="3"/>
      <c r="N467" s="3"/>
      <c r="O467" s="3"/>
    </row>
    <row r="468" spans="2:15" x14ac:dyDescent="0.45">
      <c r="B468" s="3"/>
      <c r="D468" s="3"/>
      <c r="E468" s="3"/>
      <c r="N468" s="3"/>
      <c r="O468" s="3"/>
    </row>
    <row r="469" spans="2:15" x14ac:dyDescent="0.45">
      <c r="B469" s="3"/>
      <c r="D469" s="3"/>
      <c r="E469" s="3"/>
      <c r="N469" s="3"/>
      <c r="O469" s="3"/>
    </row>
    <row r="470" spans="2:15" x14ac:dyDescent="0.45">
      <c r="B470" s="3"/>
      <c r="D470" s="3"/>
      <c r="E470" s="3"/>
      <c r="N470" s="3"/>
      <c r="O470" s="3"/>
    </row>
    <row r="471" spans="2:15" x14ac:dyDescent="0.45">
      <c r="B471" s="3"/>
      <c r="D471" s="3"/>
      <c r="E471" s="3"/>
      <c r="N471" s="3"/>
      <c r="O471" s="3"/>
    </row>
    <row r="472" spans="2:15" x14ac:dyDescent="0.45">
      <c r="B472" s="3"/>
      <c r="D472" s="3"/>
      <c r="E472" s="3"/>
      <c r="N472" s="3"/>
      <c r="O472" s="3"/>
    </row>
    <row r="473" spans="2:15" x14ac:dyDescent="0.45">
      <c r="B473" s="3"/>
      <c r="D473" s="3"/>
      <c r="E473" s="3"/>
      <c r="N473" s="3"/>
      <c r="O473" s="3"/>
    </row>
    <row r="474" spans="2:15" x14ac:dyDescent="0.45">
      <c r="B474" s="3"/>
      <c r="D474" s="3"/>
      <c r="E474" s="3"/>
      <c r="N474" s="3"/>
      <c r="O474" s="3"/>
    </row>
    <row r="475" spans="2:15" x14ac:dyDescent="0.45">
      <c r="B475" s="3"/>
      <c r="D475" s="3"/>
      <c r="E475" s="3"/>
      <c r="N475" s="3"/>
      <c r="O475" s="3"/>
    </row>
    <row r="476" spans="2:15" x14ac:dyDescent="0.45">
      <c r="B476" s="3"/>
      <c r="D476" s="3"/>
      <c r="E476" s="3"/>
      <c r="N476" s="3"/>
      <c r="O476" s="3"/>
    </row>
    <row r="477" spans="2:15" x14ac:dyDescent="0.45">
      <c r="B477" s="3"/>
      <c r="D477" s="3"/>
      <c r="E477" s="3"/>
      <c r="N477" s="3"/>
      <c r="O477" s="3"/>
    </row>
    <row r="478" spans="2:15" x14ac:dyDescent="0.45">
      <c r="B478" s="3"/>
      <c r="D478" s="3"/>
      <c r="E478" s="3"/>
      <c r="N478" s="3"/>
      <c r="O478" s="3"/>
    </row>
    <row r="479" spans="2:15" x14ac:dyDescent="0.45">
      <c r="B479" s="3"/>
      <c r="D479" s="3"/>
      <c r="E479" s="3"/>
      <c r="N479" s="3"/>
      <c r="O479" s="3"/>
    </row>
    <row r="480" spans="2:15" x14ac:dyDescent="0.45">
      <c r="B480" s="3"/>
      <c r="D480" s="3"/>
      <c r="E480" s="3"/>
      <c r="N480" s="3"/>
      <c r="O480" s="3"/>
    </row>
    <row r="481" spans="2:15" x14ac:dyDescent="0.45">
      <c r="B481" s="3"/>
      <c r="D481" s="3"/>
      <c r="E481" s="3"/>
      <c r="N481" s="3"/>
      <c r="O481" s="3"/>
    </row>
    <row r="482" spans="2:15" x14ac:dyDescent="0.45">
      <c r="B482" s="3"/>
      <c r="D482" s="3"/>
      <c r="E482" s="3"/>
      <c r="N482" s="3"/>
      <c r="O482" s="3"/>
    </row>
    <row r="483" spans="2:15" x14ac:dyDescent="0.45">
      <c r="B483" s="3"/>
      <c r="D483" s="3"/>
      <c r="E483" s="3"/>
      <c r="N483" s="3"/>
      <c r="O483" s="3"/>
    </row>
    <row r="484" spans="2:15" x14ac:dyDescent="0.45">
      <c r="B484" s="3"/>
      <c r="D484" s="3"/>
      <c r="E484" s="3"/>
      <c r="N484" s="3"/>
      <c r="O484" s="3"/>
    </row>
    <row r="485" spans="2:15" x14ac:dyDescent="0.45">
      <c r="B485" s="3"/>
      <c r="D485" s="3"/>
      <c r="E485" s="3"/>
      <c r="N485" s="3"/>
      <c r="O485" s="3"/>
    </row>
    <row r="486" spans="2:15" x14ac:dyDescent="0.45">
      <c r="B486" s="3"/>
      <c r="D486" s="3"/>
      <c r="E486" s="3"/>
      <c r="N486" s="3"/>
      <c r="O486" s="3"/>
    </row>
    <row r="487" spans="2:15" x14ac:dyDescent="0.45">
      <c r="B487" s="3"/>
      <c r="D487" s="3"/>
      <c r="E487" s="3"/>
      <c r="N487" s="3"/>
      <c r="O487" s="3"/>
    </row>
    <row r="488" spans="2:15" x14ac:dyDescent="0.45">
      <c r="B488" s="3"/>
      <c r="D488" s="3"/>
      <c r="E488" s="3"/>
      <c r="N488" s="3"/>
      <c r="O488" s="3"/>
    </row>
    <row r="489" spans="2:15" x14ac:dyDescent="0.45">
      <c r="B489" s="3"/>
      <c r="D489" s="3"/>
      <c r="E489" s="3"/>
      <c r="N489" s="3"/>
      <c r="O489" s="3"/>
    </row>
    <row r="490" spans="2:15" x14ac:dyDescent="0.45">
      <c r="B490" s="3"/>
      <c r="D490" s="3"/>
      <c r="E490" s="3"/>
      <c r="N490" s="3"/>
      <c r="O490" s="3"/>
    </row>
    <row r="491" spans="2:15" x14ac:dyDescent="0.45">
      <c r="B491" s="3"/>
      <c r="D491" s="3"/>
      <c r="E491" s="3"/>
      <c r="N491" s="3"/>
      <c r="O491" s="3"/>
    </row>
    <row r="492" spans="2:15" x14ac:dyDescent="0.45">
      <c r="B492" s="3"/>
      <c r="D492" s="3"/>
      <c r="E492" s="3"/>
      <c r="N492" s="3"/>
      <c r="O492" s="3"/>
    </row>
    <row r="493" spans="2:15" x14ac:dyDescent="0.45">
      <c r="B493" s="3"/>
      <c r="D493" s="3"/>
      <c r="E493" s="3"/>
      <c r="N493" s="3"/>
      <c r="O493" s="3"/>
    </row>
    <row r="494" spans="2:15" x14ac:dyDescent="0.45">
      <c r="B494" s="3"/>
      <c r="D494" s="3"/>
      <c r="E494" s="3"/>
      <c r="N494" s="3"/>
      <c r="O494" s="3"/>
    </row>
    <row r="495" spans="2:15" x14ac:dyDescent="0.45">
      <c r="B495" s="3"/>
      <c r="D495" s="3"/>
      <c r="E495" s="3"/>
      <c r="N495" s="3"/>
      <c r="O495" s="3"/>
    </row>
    <row r="496" spans="2:15" x14ac:dyDescent="0.45">
      <c r="B496" s="3"/>
      <c r="D496" s="3"/>
      <c r="E496" s="3"/>
      <c r="N496" s="3"/>
      <c r="O496" s="3"/>
    </row>
    <row r="497" spans="2:15" x14ac:dyDescent="0.45">
      <c r="B497" s="3"/>
      <c r="D497" s="3"/>
      <c r="E497" s="3"/>
      <c r="N497" s="3"/>
      <c r="O497" s="3"/>
    </row>
    <row r="498" spans="2:15" x14ac:dyDescent="0.45">
      <c r="B498" s="3"/>
      <c r="D498" s="3"/>
      <c r="E498" s="3"/>
      <c r="N498" s="3"/>
      <c r="O498" s="3"/>
    </row>
    <row r="499" spans="2:15" x14ac:dyDescent="0.45">
      <c r="B499" s="3"/>
      <c r="D499" s="3"/>
      <c r="E499" s="3"/>
      <c r="N499" s="3"/>
      <c r="O499" s="3"/>
    </row>
    <row r="500" spans="2:15" x14ac:dyDescent="0.45">
      <c r="B500" s="3"/>
      <c r="D500" s="3"/>
      <c r="E500" s="3"/>
      <c r="N500" s="3"/>
      <c r="O500" s="3"/>
    </row>
    <row r="501" spans="2:15" x14ac:dyDescent="0.45">
      <c r="B501" s="3"/>
      <c r="D501" s="3"/>
      <c r="E501" s="3"/>
      <c r="N501" s="3"/>
      <c r="O501" s="3"/>
    </row>
    <row r="502" spans="2:15" x14ac:dyDescent="0.45">
      <c r="B502" s="3"/>
      <c r="D502" s="3"/>
      <c r="E502" s="3"/>
      <c r="N502" s="3"/>
      <c r="O502" s="3"/>
    </row>
    <row r="503" spans="2:15" x14ac:dyDescent="0.45">
      <c r="B503" s="3"/>
      <c r="D503" s="3"/>
      <c r="E503" s="3"/>
      <c r="N503" s="3"/>
      <c r="O503" s="3"/>
    </row>
    <row r="504" spans="2:15" x14ac:dyDescent="0.45">
      <c r="B504" s="3"/>
      <c r="D504" s="3"/>
      <c r="E504" s="3"/>
      <c r="N504" s="3"/>
      <c r="O504" s="3"/>
    </row>
    <row r="505" spans="2:15" x14ac:dyDescent="0.45">
      <c r="B505" s="3"/>
      <c r="D505" s="3"/>
      <c r="E505" s="3"/>
      <c r="N505" s="3"/>
      <c r="O505" s="3"/>
    </row>
    <row r="506" spans="2:15" x14ac:dyDescent="0.45">
      <c r="B506" s="3"/>
      <c r="D506" s="3"/>
      <c r="E506" s="3"/>
      <c r="N506" s="3"/>
      <c r="O506" s="3"/>
    </row>
    <row r="507" spans="2:15" x14ac:dyDescent="0.45">
      <c r="B507" s="3"/>
      <c r="D507" s="3"/>
      <c r="E507" s="3"/>
      <c r="N507" s="3"/>
      <c r="O507" s="3"/>
    </row>
    <row r="508" spans="2:15" x14ac:dyDescent="0.45">
      <c r="B508" s="3"/>
      <c r="D508" s="3"/>
      <c r="E508" s="3"/>
      <c r="N508" s="3"/>
      <c r="O508" s="3"/>
    </row>
    <row r="509" spans="2:15" x14ac:dyDescent="0.45">
      <c r="B509" s="3"/>
      <c r="D509" s="3"/>
      <c r="E509" s="3"/>
      <c r="N509" s="3"/>
      <c r="O509" s="3"/>
    </row>
    <row r="510" spans="2:15" x14ac:dyDescent="0.45">
      <c r="B510" s="3"/>
      <c r="D510" s="3"/>
      <c r="E510" s="3"/>
      <c r="N510" s="3"/>
      <c r="O510" s="3"/>
    </row>
    <row r="511" spans="2:15" x14ac:dyDescent="0.45">
      <c r="B511" s="3"/>
      <c r="D511" s="3"/>
      <c r="E511" s="3"/>
      <c r="N511" s="3"/>
      <c r="O511" s="3"/>
    </row>
    <row r="512" spans="2:15" x14ac:dyDescent="0.45">
      <c r="B512" s="3"/>
      <c r="D512" s="3"/>
      <c r="E512" s="3"/>
      <c r="N512" s="3"/>
      <c r="O512" s="3"/>
    </row>
    <row r="513" spans="2:15" x14ac:dyDescent="0.45">
      <c r="B513" s="3"/>
      <c r="D513" s="3"/>
      <c r="E513" s="3"/>
      <c r="N513" s="3"/>
      <c r="O513" s="3"/>
    </row>
    <row r="514" spans="2:15" x14ac:dyDescent="0.45">
      <c r="B514" s="3"/>
      <c r="D514" s="3"/>
      <c r="E514" s="3"/>
      <c r="N514" s="3"/>
      <c r="O514" s="3"/>
    </row>
    <row r="515" spans="2:15" x14ac:dyDescent="0.45">
      <c r="B515" s="3"/>
      <c r="D515" s="3"/>
      <c r="E515" s="3"/>
      <c r="N515" s="3"/>
      <c r="O515" s="3"/>
    </row>
    <row r="516" spans="2:15" x14ac:dyDescent="0.45">
      <c r="B516" s="3"/>
      <c r="D516" s="3"/>
      <c r="E516" s="3"/>
      <c r="N516" s="3"/>
      <c r="O516" s="3"/>
    </row>
    <row r="517" spans="2:15" x14ac:dyDescent="0.45">
      <c r="B517" s="3"/>
      <c r="D517" s="3"/>
      <c r="E517" s="3"/>
      <c r="N517" s="3"/>
      <c r="O517" s="3"/>
    </row>
    <row r="518" spans="2:15" x14ac:dyDescent="0.45">
      <c r="B518" s="3"/>
      <c r="D518" s="3"/>
      <c r="E518" s="3"/>
      <c r="N518" s="3"/>
      <c r="O518" s="3"/>
    </row>
    <row r="519" spans="2:15" x14ac:dyDescent="0.45">
      <c r="B519" s="3"/>
      <c r="D519" s="3"/>
      <c r="E519" s="3"/>
      <c r="N519" s="3"/>
      <c r="O519" s="3"/>
    </row>
    <row r="520" spans="2:15" x14ac:dyDescent="0.45">
      <c r="B520" s="3"/>
      <c r="D520" s="3"/>
      <c r="E520" s="3"/>
      <c r="N520" s="3"/>
      <c r="O520" s="3"/>
    </row>
    <row r="521" spans="2:15" x14ac:dyDescent="0.45">
      <c r="B521" s="3"/>
      <c r="D521" s="3"/>
      <c r="E521" s="3"/>
      <c r="N521" s="3"/>
      <c r="O521" s="3"/>
    </row>
    <row r="522" spans="2:15" x14ac:dyDescent="0.45">
      <c r="B522" s="3"/>
      <c r="D522" s="3"/>
      <c r="E522" s="3"/>
      <c r="N522" s="3"/>
      <c r="O522" s="3"/>
    </row>
    <row r="523" spans="2:15" x14ac:dyDescent="0.45">
      <c r="B523" s="3"/>
      <c r="D523" s="3"/>
      <c r="E523" s="3"/>
      <c r="N523" s="3"/>
      <c r="O523" s="3"/>
    </row>
    <row r="524" spans="2:15" x14ac:dyDescent="0.45">
      <c r="B524" s="3"/>
      <c r="D524" s="3"/>
      <c r="E524" s="3"/>
      <c r="N524" s="3"/>
      <c r="O524" s="3"/>
    </row>
    <row r="525" spans="2:15" x14ac:dyDescent="0.45">
      <c r="B525" s="3"/>
      <c r="D525" s="3"/>
      <c r="E525" s="3"/>
      <c r="N525" s="3"/>
      <c r="O525" s="3"/>
    </row>
    <row r="526" spans="2:15" x14ac:dyDescent="0.45">
      <c r="B526" s="3"/>
      <c r="D526" s="3"/>
      <c r="E526" s="3"/>
      <c r="N526" s="3"/>
      <c r="O526" s="3"/>
    </row>
    <row r="527" spans="2:15" x14ac:dyDescent="0.45">
      <c r="B527" s="3"/>
      <c r="D527" s="3"/>
      <c r="E527" s="3"/>
      <c r="N527" s="3"/>
      <c r="O527" s="3"/>
    </row>
    <row r="528" spans="2:15" x14ac:dyDescent="0.45">
      <c r="B528" s="3"/>
      <c r="D528" s="3"/>
      <c r="E528" s="3"/>
      <c r="N528" s="3"/>
      <c r="O528" s="3"/>
    </row>
    <row r="529" spans="2:15" x14ac:dyDescent="0.45">
      <c r="B529" s="3"/>
      <c r="D529" s="3"/>
      <c r="E529" s="3"/>
      <c r="N529" s="3"/>
      <c r="O529" s="3"/>
    </row>
    <row r="530" spans="2:15" x14ac:dyDescent="0.45">
      <c r="B530" s="3"/>
      <c r="D530" s="3"/>
      <c r="E530" s="3"/>
      <c r="N530" s="3"/>
      <c r="O530" s="3"/>
    </row>
    <row r="531" spans="2:15" x14ac:dyDescent="0.45">
      <c r="B531" s="3"/>
      <c r="D531" s="3"/>
      <c r="E531" s="3"/>
      <c r="N531" s="3"/>
      <c r="O531" s="3"/>
    </row>
    <row r="532" spans="2:15" x14ac:dyDescent="0.45">
      <c r="B532" s="3"/>
      <c r="D532" s="3"/>
      <c r="E532" s="3"/>
      <c r="N532" s="3"/>
      <c r="O532" s="3"/>
    </row>
    <row r="533" spans="2:15" x14ac:dyDescent="0.45">
      <c r="B533" s="3"/>
      <c r="D533" s="3"/>
      <c r="E533" s="3"/>
      <c r="N533" s="3"/>
      <c r="O533" s="3"/>
    </row>
    <row r="534" spans="2:15" x14ac:dyDescent="0.45">
      <c r="B534" s="3"/>
      <c r="D534" s="3"/>
      <c r="E534" s="3"/>
      <c r="N534" s="3"/>
      <c r="O534" s="3"/>
    </row>
    <row r="535" spans="2:15" x14ac:dyDescent="0.45">
      <c r="B535" s="3"/>
      <c r="D535" s="3"/>
      <c r="E535" s="3"/>
      <c r="N535" s="3"/>
      <c r="O535" s="3"/>
    </row>
    <row r="536" spans="2:15" x14ac:dyDescent="0.45">
      <c r="B536" s="3"/>
      <c r="D536" s="3"/>
      <c r="E536" s="3"/>
      <c r="N536" s="3"/>
      <c r="O536" s="3"/>
    </row>
    <row r="537" spans="2:15" x14ac:dyDescent="0.45">
      <c r="B537" s="3"/>
      <c r="D537" s="3"/>
      <c r="E537" s="3"/>
      <c r="N537" s="3"/>
      <c r="O537" s="3"/>
    </row>
    <row r="538" spans="2:15" x14ac:dyDescent="0.45">
      <c r="B538" s="3"/>
      <c r="D538" s="3"/>
      <c r="E538" s="3"/>
      <c r="N538" s="3"/>
      <c r="O538" s="3"/>
    </row>
    <row r="539" spans="2:15" x14ac:dyDescent="0.45">
      <c r="B539" s="3"/>
      <c r="D539" s="3"/>
      <c r="E539" s="3"/>
      <c r="N539" s="3"/>
      <c r="O539" s="3"/>
    </row>
    <row r="540" spans="2:15" x14ac:dyDescent="0.45">
      <c r="B540" s="3"/>
      <c r="D540" s="3"/>
      <c r="E540" s="3"/>
      <c r="N540" s="3"/>
      <c r="O540" s="3"/>
    </row>
    <row r="541" spans="2:15" x14ac:dyDescent="0.45">
      <c r="B541" s="3"/>
      <c r="D541" s="3"/>
      <c r="E541" s="3"/>
      <c r="N541" s="3"/>
      <c r="O541" s="3"/>
    </row>
    <row r="542" spans="2:15" x14ac:dyDescent="0.45">
      <c r="B542" s="3"/>
      <c r="D542" s="3"/>
      <c r="E542" s="3"/>
      <c r="N542" s="3"/>
      <c r="O542" s="3"/>
    </row>
    <row r="543" spans="2:15" x14ac:dyDescent="0.45">
      <c r="B543" s="3"/>
      <c r="D543" s="3"/>
      <c r="E543" s="3"/>
      <c r="N543" s="3"/>
      <c r="O543" s="3"/>
    </row>
    <row r="544" spans="2:15" x14ac:dyDescent="0.45">
      <c r="B544" s="3"/>
      <c r="D544" s="3"/>
      <c r="E544" s="3"/>
      <c r="N544" s="3"/>
      <c r="O544" s="3"/>
    </row>
    <row r="545" spans="2:15" x14ac:dyDescent="0.45">
      <c r="B545" s="3"/>
      <c r="D545" s="3"/>
      <c r="E545" s="3"/>
      <c r="N545" s="3"/>
      <c r="O545" s="3"/>
    </row>
    <row r="546" spans="2:15" x14ac:dyDescent="0.45">
      <c r="B546" s="3"/>
      <c r="D546" s="3"/>
      <c r="E546" s="3"/>
      <c r="N546" s="3"/>
      <c r="O546" s="3"/>
    </row>
    <row r="547" spans="2:15" x14ac:dyDescent="0.45">
      <c r="B547" s="3"/>
      <c r="D547" s="3"/>
      <c r="E547" s="3"/>
      <c r="N547" s="3"/>
      <c r="O547" s="3"/>
    </row>
    <row r="548" spans="2:15" x14ac:dyDescent="0.45">
      <c r="B548" s="3"/>
      <c r="D548" s="3"/>
      <c r="E548" s="3"/>
      <c r="N548" s="3"/>
      <c r="O548" s="3"/>
    </row>
    <row r="549" spans="2:15" x14ac:dyDescent="0.45">
      <c r="B549" s="3"/>
      <c r="D549" s="3"/>
      <c r="E549" s="3"/>
      <c r="N549" s="3"/>
      <c r="O549" s="3"/>
    </row>
    <row r="550" spans="2:15" x14ac:dyDescent="0.45">
      <c r="B550" s="3"/>
      <c r="D550" s="3"/>
      <c r="E550" s="3"/>
      <c r="N550" s="3"/>
      <c r="O550" s="3"/>
    </row>
    <row r="551" spans="2:15" x14ac:dyDescent="0.45">
      <c r="B551" s="3"/>
      <c r="D551" s="3"/>
      <c r="E551" s="3"/>
      <c r="N551" s="3"/>
      <c r="O551" s="3"/>
    </row>
    <row r="552" spans="2:15" x14ac:dyDescent="0.45">
      <c r="B552" s="3"/>
      <c r="D552" s="3"/>
      <c r="E552" s="3"/>
      <c r="N552" s="3"/>
      <c r="O552" s="3"/>
    </row>
    <row r="553" spans="2:15" x14ac:dyDescent="0.45">
      <c r="B553" s="3"/>
      <c r="D553" s="3"/>
      <c r="E553" s="3"/>
      <c r="N553" s="3"/>
      <c r="O553" s="3"/>
    </row>
    <row r="554" spans="2:15" x14ac:dyDescent="0.45">
      <c r="B554" s="3"/>
      <c r="D554" s="3"/>
      <c r="E554" s="3"/>
      <c r="N554" s="3"/>
      <c r="O554" s="3"/>
    </row>
    <row r="555" spans="2:15" x14ac:dyDescent="0.45">
      <c r="B555" s="3"/>
      <c r="D555" s="3"/>
      <c r="E555" s="3"/>
      <c r="N555" s="3"/>
      <c r="O555" s="3"/>
    </row>
    <row r="556" spans="2:15" x14ac:dyDescent="0.45">
      <c r="B556" s="3"/>
      <c r="D556" s="3"/>
      <c r="E556" s="3"/>
      <c r="N556" s="3"/>
      <c r="O556" s="3"/>
    </row>
    <row r="557" spans="2:15" x14ac:dyDescent="0.45">
      <c r="B557" s="3"/>
      <c r="D557" s="3"/>
      <c r="E557" s="3"/>
      <c r="N557" s="3"/>
      <c r="O557" s="3"/>
    </row>
    <row r="558" spans="2:15" x14ac:dyDescent="0.45">
      <c r="B558" s="3"/>
      <c r="D558" s="3"/>
      <c r="E558" s="3"/>
      <c r="N558" s="3"/>
      <c r="O558" s="3"/>
    </row>
    <row r="559" spans="2:15" x14ac:dyDescent="0.45">
      <c r="B559" s="3"/>
      <c r="D559" s="3"/>
      <c r="E559" s="3"/>
      <c r="N559" s="3"/>
      <c r="O559" s="3"/>
    </row>
    <row r="560" spans="2:15" x14ac:dyDescent="0.45">
      <c r="B560" s="3"/>
      <c r="D560" s="3"/>
      <c r="E560" s="3"/>
      <c r="N560" s="3"/>
      <c r="O560" s="3"/>
    </row>
    <row r="561" spans="2:15" x14ac:dyDescent="0.45">
      <c r="B561" s="3"/>
      <c r="D561" s="3"/>
      <c r="E561" s="3"/>
      <c r="N561" s="3"/>
      <c r="O561" s="3"/>
    </row>
    <row r="562" spans="2:15" x14ac:dyDescent="0.45">
      <c r="B562" s="3"/>
      <c r="D562" s="3"/>
      <c r="E562" s="3"/>
      <c r="N562" s="3"/>
      <c r="O562" s="3"/>
    </row>
    <row r="563" spans="2:15" x14ac:dyDescent="0.45">
      <c r="B563" s="3"/>
      <c r="D563" s="3"/>
      <c r="E563" s="3"/>
      <c r="N563" s="3"/>
      <c r="O563" s="3"/>
    </row>
    <row r="564" spans="2:15" x14ac:dyDescent="0.45">
      <c r="B564" s="3"/>
      <c r="D564" s="3"/>
      <c r="E564" s="3"/>
      <c r="N564" s="3"/>
      <c r="O564" s="3"/>
    </row>
    <row r="565" spans="2:15" x14ac:dyDescent="0.45">
      <c r="B565" s="3"/>
      <c r="D565" s="3"/>
      <c r="E565" s="3"/>
      <c r="N565" s="3"/>
      <c r="O565" s="3"/>
    </row>
    <row r="566" spans="2:15" x14ac:dyDescent="0.45">
      <c r="B566" s="3"/>
      <c r="D566" s="3"/>
      <c r="E566" s="3"/>
      <c r="N566" s="3"/>
      <c r="O566" s="3"/>
    </row>
    <row r="567" spans="2:15" x14ac:dyDescent="0.45">
      <c r="B567" s="3"/>
      <c r="D567" s="3"/>
      <c r="E567" s="3"/>
      <c r="N567" s="3"/>
      <c r="O567" s="3"/>
    </row>
    <row r="568" spans="2:15" x14ac:dyDescent="0.45">
      <c r="B568" s="3"/>
      <c r="D568" s="3"/>
      <c r="E568" s="3"/>
      <c r="N568" s="3"/>
      <c r="O568" s="3"/>
    </row>
    <row r="569" spans="2:15" x14ac:dyDescent="0.45">
      <c r="B569" s="3"/>
      <c r="D569" s="3"/>
      <c r="E569" s="3"/>
      <c r="N569" s="3"/>
      <c r="O569" s="3"/>
    </row>
    <row r="570" spans="2:15" x14ac:dyDescent="0.45">
      <c r="B570" s="3"/>
      <c r="D570" s="3"/>
      <c r="E570" s="3"/>
      <c r="N570" s="3"/>
      <c r="O570" s="3"/>
    </row>
    <row r="571" spans="2:15" x14ac:dyDescent="0.45">
      <c r="B571" s="3"/>
      <c r="D571" s="3"/>
      <c r="E571" s="3"/>
      <c r="N571" s="3"/>
      <c r="O571" s="3"/>
    </row>
    <row r="572" spans="2:15" x14ac:dyDescent="0.45">
      <c r="B572" s="3"/>
      <c r="D572" s="3"/>
      <c r="E572" s="3"/>
      <c r="N572" s="3"/>
      <c r="O572" s="3"/>
    </row>
    <row r="573" spans="2:15" x14ac:dyDescent="0.45">
      <c r="B573" s="3"/>
      <c r="D573" s="3"/>
      <c r="E573" s="3"/>
      <c r="N573" s="3"/>
      <c r="O573" s="3"/>
    </row>
    <row r="574" spans="2:15" x14ac:dyDescent="0.45">
      <c r="B574" s="3"/>
      <c r="D574" s="3"/>
      <c r="E574" s="3"/>
      <c r="N574" s="3"/>
      <c r="O574" s="3"/>
    </row>
    <row r="575" spans="2:15" x14ac:dyDescent="0.45">
      <c r="B575" s="3"/>
      <c r="D575" s="3"/>
      <c r="E575" s="3"/>
      <c r="N575" s="3"/>
      <c r="O575" s="3"/>
    </row>
    <row r="576" spans="2:15" x14ac:dyDescent="0.45">
      <c r="B576" s="3"/>
      <c r="D576" s="3"/>
      <c r="E576" s="3"/>
      <c r="N576" s="3"/>
      <c r="O576" s="3"/>
    </row>
    <row r="577" spans="2:15" x14ac:dyDescent="0.45">
      <c r="B577" s="3"/>
      <c r="D577" s="3"/>
      <c r="E577" s="3"/>
      <c r="N577" s="3"/>
      <c r="O577" s="3"/>
    </row>
    <row r="578" spans="2:15" x14ac:dyDescent="0.45">
      <c r="B578" s="3"/>
      <c r="D578" s="3"/>
      <c r="E578" s="3"/>
      <c r="N578" s="3"/>
      <c r="O578" s="3"/>
    </row>
    <row r="579" spans="2:15" x14ac:dyDescent="0.45">
      <c r="B579" s="3"/>
      <c r="D579" s="3"/>
      <c r="E579" s="3"/>
      <c r="N579" s="3"/>
      <c r="O579" s="3"/>
    </row>
    <row r="580" spans="2:15" x14ac:dyDescent="0.45">
      <c r="B580" s="3"/>
      <c r="D580" s="3"/>
      <c r="E580" s="3"/>
      <c r="N580" s="3"/>
      <c r="O580" s="3"/>
    </row>
    <row r="581" spans="2:15" x14ac:dyDescent="0.45">
      <c r="B581" s="3"/>
      <c r="D581" s="3"/>
      <c r="E581" s="3"/>
      <c r="N581" s="3"/>
      <c r="O581" s="3"/>
    </row>
    <row r="582" spans="2:15" x14ac:dyDescent="0.45">
      <c r="B582" s="3"/>
      <c r="D582" s="3"/>
      <c r="E582" s="3"/>
      <c r="N582" s="3"/>
      <c r="O582" s="3"/>
    </row>
    <row r="583" spans="2:15" x14ac:dyDescent="0.45">
      <c r="B583" s="3"/>
      <c r="D583" s="3"/>
      <c r="E583" s="3"/>
      <c r="N583" s="3"/>
      <c r="O583" s="3"/>
    </row>
    <row r="584" spans="2:15" x14ac:dyDescent="0.45">
      <c r="B584" s="3"/>
      <c r="D584" s="3"/>
      <c r="E584" s="3"/>
      <c r="N584" s="3"/>
      <c r="O584" s="3"/>
    </row>
    <row r="585" spans="2:15" x14ac:dyDescent="0.45">
      <c r="B585" s="3"/>
      <c r="D585" s="3"/>
      <c r="E585" s="3"/>
      <c r="N585" s="3"/>
      <c r="O585" s="3"/>
    </row>
    <row r="586" spans="2:15" x14ac:dyDescent="0.45">
      <c r="B586" s="3"/>
      <c r="D586" s="3"/>
      <c r="E586" s="3"/>
      <c r="N586" s="3"/>
      <c r="O586" s="3"/>
    </row>
    <row r="587" spans="2:15" x14ac:dyDescent="0.45">
      <c r="B587" s="3"/>
      <c r="D587" s="3"/>
      <c r="E587" s="3"/>
      <c r="N587" s="3"/>
      <c r="O587" s="3"/>
    </row>
    <row r="588" spans="2:15" x14ac:dyDescent="0.45">
      <c r="B588" s="3"/>
      <c r="D588" s="3"/>
      <c r="E588" s="3"/>
      <c r="N588" s="3"/>
      <c r="O588" s="3"/>
    </row>
    <row r="589" spans="2:15" x14ac:dyDescent="0.45">
      <c r="B589" s="3"/>
      <c r="D589" s="3"/>
      <c r="E589" s="3"/>
      <c r="N589" s="3"/>
      <c r="O589" s="3"/>
    </row>
    <row r="590" spans="2:15" x14ac:dyDescent="0.45">
      <c r="B590" s="3"/>
      <c r="D590" s="3"/>
      <c r="E590" s="3"/>
      <c r="N590" s="3"/>
      <c r="O590" s="3"/>
    </row>
    <row r="591" spans="2:15" x14ac:dyDescent="0.45">
      <c r="B591" s="3"/>
      <c r="D591" s="3"/>
      <c r="E591" s="3"/>
      <c r="N591" s="3"/>
      <c r="O591" s="3"/>
    </row>
    <row r="592" spans="2:15" x14ac:dyDescent="0.45">
      <c r="B592" s="3"/>
      <c r="D592" s="3"/>
      <c r="E592" s="3"/>
      <c r="N592" s="3"/>
      <c r="O592" s="3"/>
    </row>
    <row r="593" spans="2:15" x14ac:dyDescent="0.45">
      <c r="B593" s="3"/>
      <c r="D593" s="3"/>
      <c r="E593" s="3"/>
      <c r="N593" s="3"/>
      <c r="O593" s="3"/>
    </row>
    <row r="594" spans="2:15" x14ac:dyDescent="0.45">
      <c r="B594" s="3"/>
      <c r="D594" s="3"/>
      <c r="E594" s="3"/>
      <c r="N594" s="3"/>
      <c r="O594" s="3"/>
    </row>
    <row r="595" spans="2:15" x14ac:dyDescent="0.45">
      <c r="B595" s="3"/>
      <c r="D595" s="3"/>
      <c r="E595" s="3"/>
      <c r="N595" s="3"/>
      <c r="O595" s="3"/>
    </row>
    <row r="596" spans="2:15" x14ac:dyDescent="0.45">
      <c r="B596" s="3"/>
      <c r="D596" s="3"/>
      <c r="E596" s="3"/>
      <c r="N596" s="3"/>
      <c r="O596" s="3"/>
    </row>
    <row r="597" spans="2:15" x14ac:dyDescent="0.45">
      <c r="B597" s="3"/>
      <c r="D597" s="3"/>
      <c r="E597" s="3"/>
      <c r="N597" s="3"/>
      <c r="O597" s="3"/>
    </row>
    <row r="598" spans="2:15" x14ac:dyDescent="0.45">
      <c r="B598" s="3"/>
      <c r="D598" s="3"/>
      <c r="E598" s="3"/>
      <c r="N598" s="3"/>
      <c r="O598" s="3"/>
    </row>
    <row r="599" spans="2:15" x14ac:dyDescent="0.45">
      <c r="B599" s="3"/>
      <c r="D599" s="3"/>
      <c r="E599" s="3"/>
      <c r="N599" s="3"/>
      <c r="O599" s="3"/>
    </row>
    <row r="600" spans="2:15" x14ac:dyDescent="0.45">
      <c r="B600" s="3"/>
      <c r="D600" s="3"/>
      <c r="E600" s="3"/>
      <c r="N600" s="3"/>
      <c r="O600" s="3"/>
    </row>
    <row r="601" spans="2:15" x14ac:dyDescent="0.45">
      <c r="B601" s="3"/>
      <c r="D601" s="3"/>
      <c r="E601" s="3"/>
      <c r="N601" s="3"/>
      <c r="O601" s="3"/>
    </row>
    <row r="602" spans="2:15" x14ac:dyDescent="0.45">
      <c r="B602" s="3"/>
      <c r="D602" s="3"/>
      <c r="E602" s="3"/>
      <c r="N602" s="3"/>
      <c r="O602" s="3"/>
    </row>
    <row r="603" spans="2:15" x14ac:dyDescent="0.45">
      <c r="B603" s="3"/>
      <c r="D603" s="3"/>
      <c r="E603" s="3"/>
      <c r="N603" s="3"/>
      <c r="O603" s="3"/>
    </row>
    <row r="604" spans="2:15" x14ac:dyDescent="0.45">
      <c r="B604" s="3"/>
      <c r="D604" s="3"/>
      <c r="E604" s="3"/>
      <c r="N604" s="3"/>
      <c r="O604" s="3"/>
    </row>
    <row r="605" spans="2:15" x14ac:dyDescent="0.45">
      <c r="B605" s="3"/>
      <c r="D605" s="3"/>
      <c r="E605" s="3"/>
      <c r="N605" s="3"/>
      <c r="O605" s="3"/>
    </row>
    <row r="606" spans="2:15" x14ac:dyDescent="0.45">
      <c r="B606" s="3"/>
      <c r="D606" s="3"/>
      <c r="E606" s="3"/>
      <c r="N606" s="3"/>
      <c r="O606" s="3"/>
    </row>
    <row r="607" spans="2:15" x14ac:dyDescent="0.45">
      <c r="B607" s="3"/>
      <c r="D607" s="3"/>
      <c r="E607" s="3"/>
      <c r="N607" s="3"/>
      <c r="O607" s="3"/>
    </row>
    <row r="608" spans="2:15" x14ac:dyDescent="0.45">
      <c r="B608" s="3"/>
      <c r="D608" s="3"/>
      <c r="E608" s="3"/>
      <c r="N608" s="3"/>
      <c r="O608" s="3"/>
    </row>
    <row r="609" spans="2:15" x14ac:dyDescent="0.45">
      <c r="B609" s="3"/>
      <c r="D609" s="3"/>
      <c r="E609" s="3"/>
      <c r="N609" s="3"/>
      <c r="O609" s="3"/>
    </row>
    <row r="610" spans="2:15" x14ac:dyDescent="0.45">
      <c r="B610" s="3"/>
      <c r="D610" s="3"/>
      <c r="E610" s="3"/>
      <c r="N610" s="3"/>
      <c r="O610" s="3"/>
    </row>
    <row r="611" spans="2:15" x14ac:dyDescent="0.45">
      <c r="B611" s="3"/>
      <c r="D611" s="3"/>
      <c r="E611" s="3"/>
      <c r="N611" s="3"/>
      <c r="O611" s="3"/>
    </row>
    <row r="612" spans="2:15" x14ac:dyDescent="0.45">
      <c r="B612" s="3"/>
      <c r="D612" s="3"/>
      <c r="E612" s="3"/>
      <c r="N612" s="3"/>
      <c r="O612" s="3"/>
    </row>
    <row r="613" spans="2:15" x14ac:dyDescent="0.45">
      <c r="B613" s="3"/>
      <c r="D613" s="3"/>
      <c r="E613" s="3"/>
      <c r="N613" s="3"/>
      <c r="O613" s="3"/>
    </row>
    <row r="614" spans="2:15" x14ac:dyDescent="0.45">
      <c r="B614" s="3"/>
      <c r="D614" s="3"/>
      <c r="E614" s="3"/>
      <c r="N614" s="3"/>
      <c r="O614" s="3"/>
    </row>
    <row r="615" spans="2:15" x14ac:dyDescent="0.45">
      <c r="B615" s="3"/>
      <c r="D615" s="3"/>
      <c r="E615" s="3"/>
      <c r="N615" s="3"/>
      <c r="O615" s="3"/>
    </row>
    <row r="616" spans="2:15" x14ac:dyDescent="0.45">
      <c r="B616" s="3"/>
      <c r="D616" s="3"/>
      <c r="E616" s="3"/>
      <c r="N616" s="3"/>
      <c r="O616" s="3"/>
    </row>
    <row r="617" spans="2:15" x14ac:dyDescent="0.45">
      <c r="B617" s="3"/>
      <c r="D617" s="3"/>
      <c r="E617" s="3"/>
      <c r="N617" s="3"/>
      <c r="O617" s="3"/>
    </row>
    <row r="618" spans="2:15" x14ac:dyDescent="0.45">
      <c r="B618" s="3"/>
      <c r="D618" s="3"/>
      <c r="E618" s="3"/>
      <c r="N618" s="3"/>
      <c r="O618" s="3"/>
    </row>
    <row r="619" spans="2:15" x14ac:dyDescent="0.45">
      <c r="B619" s="3"/>
      <c r="D619" s="3"/>
      <c r="E619" s="3"/>
      <c r="N619" s="3"/>
      <c r="O619" s="3"/>
    </row>
    <row r="620" spans="2:15" x14ac:dyDescent="0.45">
      <c r="B620" s="3"/>
      <c r="D620" s="3"/>
      <c r="E620" s="3"/>
      <c r="N620" s="3"/>
      <c r="O620" s="3"/>
    </row>
    <row r="621" spans="2:15" x14ac:dyDescent="0.45">
      <c r="B621" s="3"/>
      <c r="D621" s="3"/>
      <c r="E621" s="3"/>
      <c r="N621" s="3"/>
      <c r="O621" s="3"/>
    </row>
    <row r="622" spans="2:15" x14ac:dyDescent="0.45">
      <c r="B622" s="3"/>
      <c r="D622" s="3"/>
      <c r="E622" s="3"/>
      <c r="N622" s="3"/>
      <c r="O622" s="3"/>
    </row>
    <row r="623" spans="2:15" x14ac:dyDescent="0.45">
      <c r="B623" s="3"/>
      <c r="D623" s="3"/>
      <c r="E623" s="3"/>
      <c r="N623" s="3"/>
      <c r="O623" s="3"/>
    </row>
    <row r="624" spans="2:15" x14ac:dyDescent="0.45">
      <c r="B624" s="3"/>
      <c r="D624" s="3"/>
      <c r="E624" s="3"/>
      <c r="N624" s="3"/>
      <c r="O624" s="3"/>
    </row>
    <row r="625" spans="2:15" x14ac:dyDescent="0.45">
      <c r="B625" s="3"/>
      <c r="D625" s="3"/>
      <c r="E625" s="3"/>
      <c r="N625" s="3"/>
      <c r="O625" s="3"/>
    </row>
    <row r="626" spans="2:15" x14ac:dyDescent="0.45">
      <c r="B626" s="3"/>
      <c r="D626" s="3"/>
      <c r="E626" s="3"/>
      <c r="N626" s="3"/>
      <c r="O626" s="3"/>
    </row>
    <row r="627" spans="2:15" x14ac:dyDescent="0.45">
      <c r="B627" s="3"/>
      <c r="D627" s="3"/>
      <c r="E627" s="3"/>
      <c r="N627" s="3"/>
      <c r="O627" s="3"/>
    </row>
    <row r="628" spans="2:15" x14ac:dyDescent="0.45">
      <c r="B628" s="3"/>
      <c r="D628" s="3"/>
      <c r="E628" s="3"/>
      <c r="N628" s="3"/>
      <c r="O628" s="3"/>
    </row>
    <row r="629" spans="2:15" x14ac:dyDescent="0.45">
      <c r="B629" s="3"/>
      <c r="D629" s="3"/>
      <c r="E629" s="3"/>
      <c r="N629" s="3"/>
      <c r="O629" s="3"/>
    </row>
    <row r="630" spans="2:15" x14ac:dyDescent="0.45">
      <c r="B630" s="3"/>
      <c r="D630" s="3"/>
      <c r="E630" s="3"/>
      <c r="N630" s="3"/>
      <c r="O630" s="3"/>
    </row>
    <row r="631" spans="2:15" x14ac:dyDescent="0.45">
      <c r="B631" s="3"/>
      <c r="D631" s="3"/>
      <c r="E631" s="3"/>
      <c r="N631" s="3"/>
      <c r="O631" s="3"/>
    </row>
    <row r="632" spans="2:15" x14ac:dyDescent="0.45">
      <c r="B632" s="3"/>
      <c r="D632" s="3"/>
      <c r="E632" s="3"/>
      <c r="N632" s="3"/>
      <c r="O632" s="3"/>
    </row>
    <row r="633" spans="2:15" x14ac:dyDescent="0.45">
      <c r="B633" s="3"/>
      <c r="D633" s="3"/>
      <c r="E633" s="3"/>
      <c r="N633" s="3"/>
      <c r="O633" s="3"/>
    </row>
    <row r="634" spans="2:15" x14ac:dyDescent="0.45">
      <c r="B634" s="3"/>
      <c r="D634" s="3"/>
      <c r="E634" s="3"/>
      <c r="N634" s="3"/>
      <c r="O634" s="3"/>
    </row>
    <row r="635" spans="2:15" x14ac:dyDescent="0.45">
      <c r="B635" s="3"/>
      <c r="D635" s="3"/>
      <c r="E635" s="3"/>
      <c r="N635" s="3"/>
      <c r="O635" s="3"/>
    </row>
    <row r="636" spans="2:15" x14ac:dyDescent="0.45">
      <c r="B636" s="3"/>
      <c r="D636" s="3"/>
      <c r="E636" s="3"/>
      <c r="N636" s="3"/>
      <c r="O636" s="3"/>
    </row>
    <row r="637" spans="2:15" x14ac:dyDescent="0.45">
      <c r="B637" s="3"/>
      <c r="D637" s="3"/>
      <c r="E637" s="3"/>
      <c r="N637" s="3"/>
      <c r="O637" s="3"/>
    </row>
    <row r="638" spans="2:15" x14ac:dyDescent="0.45">
      <c r="B638" s="3"/>
      <c r="D638" s="3"/>
      <c r="E638" s="3"/>
      <c r="N638" s="3"/>
      <c r="O638" s="3"/>
    </row>
    <row r="639" spans="2:15" x14ac:dyDescent="0.45">
      <c r="B639" s="3"/>
      <c r="D639" s="3"/>
      <c r="E639" s="3"/>
      <c r="N639" s="3"/>
      <c r="O639" s="3"/>
    </row>
    <row r="640" spans="2:15" x14ac:dyDescent="0.45">
      <c r="B640" s="3"/>
      <c r="D640" s="3"/>
      <c r="E640" s="3"/>
      <c r="N640" s="3"/>
      <c r="O640" s="3"/>
    </row>
    <row r="641" spans="2:15" x14ac:dyDescent="0.45">
      <c r="B641" s="3"/>
      <c r="D641" s="3"/>
      <c r="E641" s="3"/>
      <c r="N641" s="3"/>
      <c r="O641" s="3"/>
    </row>
    <row r="642" spans="2:15" x14ac:dyDescent="0.45">
      <c r="B642" s="3"/>
      <c r="D642" s="3"/>
      <c r="E642" s="3"/>
      <c r="N642" s="3"/>
      <c r="O642" s="3"/>
    </row>
    <row r="643" spans="2:15" x14ac:dyDescent="0.45">
      <c r="B643" s="3"/>
      <c r="D643" s="3"/>
      <c r="E643" s="3"/>
      <c r="N643" s="3"/>
      <c r="O643" s="3"/>
    </row>
    <row r="644" spans="2:15" x14ac:dyDescent="0.45">
      <c r="B644" s="3"/>
      <c r="D644" s="3"/>
      <c r="E644" s="3"/>
      <c r="N644" s="3"/>
      <c r="O644" s="3"/>
    </row>
    <row r="645" spans="2:15" x14ac:dyDescent="0.45">
      <c r="B645" s="3"/>
      <c r="D645" s="3"/>
      <c r="E645" s="3"/>
      <c r="N645" s="3"/>
      <c r="O645" s="3"/>
    </row>
    <row r="646" spans="2:15" x14ac:dyDescent="0.45">
      <c r="B646" s="3"/>
      <c r="D646" s="3"/>
      <c r="E646" s="3"/>
      <c r="N646" s="3"/>
      <c r="O646" s="3"/>
    </row>
    <row r="647" spans="2:15" x14ac:dyDescent="0.45">
      <c r="B647" s="3"/>
      <c r="D647" s="3"/>
      <c r="E647" s="3"/>
      <c r="N647" s="3"/>
      <c r="O647" s="3"/>
    </row>
    <row r="648" spans="2:15" x14ac:dyDescent="0.45">
      <c r="B648" s="3"/>
      <c r="D648" s="3"/>
      <c r="E648" s="3"/>
      <c r="N648" s="3"/>
      <c r="O648" s="3"/>
    </row>
    <row r="649" spans="2:15" x14ac:dyDescent="0.45">
      <c r="B649" s="3"/>
      <c r="D649" s="3"/>
      <c r="E649" s="3"/>
      <c r="N649" s="3"/>
      <c r="O649" s="3"/>
    </row>
    <row r="650" spans="2:15" x14ac:dyDescent="0.45">
      <c r="B650" s="3"/>
      <c r="D650" s="3"/>
      <c r="E650" s="3"/>
      <c r="N650" s="3"/>
      <c r="O650" s="3"/>
    </row>
    <row r="651" spans="2:15" x14ac:dyDescent="0.45">
      <c r="B651" s="3"/>
      <c r="D651" s="3"/>
      <c r="E651" s="3"/>
      <c r="N651" s="3"/>
      <c r="O651" s="3"/>
    </row>
    <row r="652" spans="2:15" x14ac:dyDescent="0.45">
      <c r="B652" s="3"/>
      <c r="D652" s="3"/>
      <c r="E652" s="3"/>
      <c r="N652" s="3"/>
      <c r="O652" s="3"/>
    </row>
    <row r="653" spans="2:15" x14ac:dyDescent="0.45">
      <c r="B653" s="3"/>
      <c r="D653" s="3"/>
      <c r="E653" s="3"/>
      <c r="N653" s="3"/>
      <c r="O653" s="3"/>
    </row>
    <row r="654" spans="2:15" x14ac:dyDescent="0.45">
      <c r="B654" s="3"/>
      <c r="D654" s="3"/>
      <c r="E654" s="3"/>
      <c r="N654" s="3"/>
      <c r="O654" s="3"/>
    </row>
    <row r="655" spans="2:15" x14ac:dyDescent="0.45">
      <c r="B655" s="3"/>
      <c r="D655" s="3"/>
      <c r="E655" s="3"/>
      <c r="N655" s="3"/>
      <c r="O655" s="3"/>
    </row>
    <row r="656" spans="2:15" x14ac:dyDescent="0.45">
      <c r="B656" s="3"/>
      <c r="D656" s="3"/>
      <c r="E656" s="3"/>
      <c r="N656" s="3"/>
      <c r="O656" s="3"/>
    </row>
    <row r="657" spans="2:15" x14ac:dyDescent="0.45">
      <c r="B657" s="3"/>
      <c r="D657" s="3"/>
      <c r="E657" s="3"/>
      <c r="N657" s="3"/>
      <c r="O657" s="3"/>
    </row>
    <row r="658" spans="2:15" x14ac:dyDescent="0.45">
      <c r="B658" s="3"/>
      <c r="D658" s="3"/>
      <c r="E658" s="3"/>
      <c r="N658" s="3"/>
      <c r="O658" s="3"/>
    </row>
    <row r="659" spans="2:15" x14ac:dyDescent="0.45">
      <c r="B659" s="3"/>
      <c r="D659" s="3"/>
      <c r="E659" s="3"/>
      <c r="N659" s="3"/>
      <c r="O659" s="3"/>
    </row>
    <row r="660" spans="2:15" x14ac:dyDescent="0.45">
      <c r="B660" s="3"/>
      <c r="D660" s="3"/>
      <c r="E660" s="3"/>
      <c r="N660" s="3"/>
      <c r="O660" s="3"/>
    </row>
    <row r="661" spans="2:15" x14ac:dyDescent="0.45">
      <c r="B661" s="3"/>
      <c r="D661" s="3"/>
      <c r="E661" s="3"/>
      <c r="N661" s="3"/>
      <c r="O661" s="3"/>
    </row>
    <row r="662" spans="2:15" x14ac:dyDescent="0.45">
      <c r="B662" s="3"/>
      <c r="D662" s="3"/>
      <c r="E662" s="3"/>
      <c r="N662" s="3"/>
      <c r="O662" s="3"/>
    </row>
    <row r="663" spans="2:15" x14ac:dyDescent="0.45">
      <c r="B663" s="3"/>
      <c r="D663" s="3"/>
      <c r="E663" s="3"/>
      <c r="N663" s="3"/>
      <c r="O663" s="3"/>
    </row>
    <row r="664" spans="2:15" x14ac:dyDescent="0.45">
      <c r="B664" s="3"/>
      <c r="D664" s="3"/>
      <c r="E664" s="3"/>
      <c r="N664" s="3"/>
      <c r="O664" s="3"/>
    </row>
    <row r="665" spans="2:15" x14ac:dyDescent="0.45">
      <c r="B665" s="3"/>
      <c r="D665" s="3"/>
      <c r="E665" s="3"/>
      <c r="N665" s="3"/>
      <c r="O665" s="3"/>
    </row>
    <row r="666" spans="2:15" x14ac:dyDescent="0.45">
      <c r="B666" s="3"/>
      <c r="D666" s="3"/>
      <c r="E666" s="3"/>
      <c r="N666" s="3"/>
      <c r="O666" s="3"/>
    </row>
    <row r="667" spans="2:15" x14ac:dyDescent="0.45">
      <c r="B667" s="3"/>
      <c r="D667" s="3"/>
      <c r="E667" s="3"/>
      <c r="N667" s="3"/>
      <c r="O667" s="3"/>
    </row>
    <row r="668" spans="2:15" x14ac:dyDescent="0.45">
      <c r="B668" s="3"/>
      <c r="D668" s="3"/>
      <c r="E668" s="3"/>
      <c r="N668" s="3"/>
      <c r="O668" s="3"/>
    </row>
    <row r="669" spans="2:15" x14ac:dyDescent="0.45">
      <c r="B669" s="3"/>
      <c r="D669" s="3"/>
      <c r="E669" s="3"/>
      <c r="N669" s="3"/>
      <c r="O669" s="3"/>
    </row>
    <row r="670" spans="2:15" x14ac:dyDescent="0.45">
      <c r="B670" s="3"/>
      <c r="D670" s="3"/>
      <c r="E670" s="3"/>
      <c r="N670" s="3"/>
      <c r="O670" s="3"/>
    </row>
    <row r="671" spans="2:15" x14ac:dyDescent="0.45">
      <c r="B671" s="3"/>
      <c r="D671" s="3"/>
      <c r="E671" s="3"/>
      <c r="N671" s="3"/>
      <c r="O671" s="3"/>
    </row>
    <row r="672" spans="2:15" x14ac:dyDescent="0.45">
      <c r="B672" s="3"/>
      <c r="D672" s="3"/>
      <c r="E672" s="3"/>
      <c r="N672" s="3"/>
      <c r="O672" s="3"/>
    </row>
    <row r="673" spans="2:15" x14ac:dyDescent="0.45">
      <c r="B673" s="3"/>
      <c r="D673" s="3"/>
      <c r="E673" s="3"/>
      <c r="N673" s="3"/>
      <c r="O673" s="3"/>
    </row>
    <row r="674" spans="2:15" x14ac:dyDescent="0.45">
      <c r="B674" s="3"/>
      <c r="D674" s="3"/>
      <c r="E674" s="3"/>
      <c r="N674" s="3"/>
      <c r="O674" s="3"/>
    </row>
    <row r="675" spans="2:15" x14ac:dyDescent="0.45">
      <c r="B675" s="3"/>
      <c r="D675" s="3"/>
      <c r="E675" s="3"/>
      <c r="N675" s="3"/>
      <c r="O675" s="3"/>
    </row>
    <row r="676" spans="2:15" x14ac:dyDescent="0.45">
      <c r="B676" s="3"/>
      <c r="D676" s="3"/>
      <c r="E676" s="3"/>
      <c r="N676" s="3"/>
      <c r="O676" s="3"/>
    </row>
    <row r="677" spans="2:15" x14ac:dyDescent="0.45">
      <c r="B677" s="3"/>
      <c r="D677" s="3"/>
      <c r="E677" s="3"/>
      <c r="N677" s="3"/>
      <c r="O677" s="3"/>
    </row>
    <row r="678" spans="2:15" x14ac:dyDescent="0.45">
      <c r="B678" s="3"/>
      <c r="D678" s="3"/>
      <c r="E678" s="3"/>
      <c r="N678" s="3"/>
      <c r="O678" s="3"/>
    </row>
    <row r="679" spans="2:15" x14ac:dyDescent="0.45">
      <c r="B679" s="3"/>
      <c r="D679" s="3"/>
      <c r="E679" s="3"/>
      <c r="N679" s="3"/>
      <c r="O679" s="3"/>
    </row>
    <row r="680" spans="2:15" x14ac:dyDescent="0.45">
      <c r="B680" s="3"/>
      <c r="D680" s="3"/>
      <c r="E680" s="3"/>
      <c r="N680" s="3"/>
      <c r="O680" s="3"/>
    </row>
    <row r="681" spans="2:15" x14ac:dyDescent="0.45">
      <c r="B681" s="3"/>
      <c r="D681" s="3"/>
      <c r="E681" s="3"/>
      <c r="N681" s="3"/>
      <c r="O681" s="3"/>
    </row>
    <row r="682" spans="2:15" x14ac:dyDescent="0.45">
      <c r="B682" s="3"/>
      <c r="D682" s="3"/>
      <c r="E682" s="3"/>
      <c r="N682" s="3"/>
      <c r="O682" s="3"/>
    </row>
    <row r="683" spans="2:15" x14ac:dyDescent="0.45">
      <c r="B683" s="3"/>
      <c r="D683" s="3"/>
      <c r="E683" s="3"/>
      <c r="N683" s="3"/>
      <c r="O683" s="3"/>
    </row>
    <row r="684" spans="2:15" x14ac:dyDescent="0.45">
      <c r="B684" s="3"/>
      <c r="D684" s="3"/>
      <c r="E684" s="3"/>
      <c r="N684" s="3"/>
      <c r="O684" s="3"/>
    </row>
    <row r="685" spans="2:15" x14ac:dyDescent="0.45">
      <c r="B685" s="3"/>
      <c r="D685" s="3"/>
      <c r="E685" s="3"/>
      <c r="N685" s="3"/>
      <c r="O685" s="3"/>
    </row>
    <row r="686" spans="2:15" x14ac:dyDescent="0.45">
      <c r="B686" s="3"/>
      <c r="D686" s="3"/>
      <c r="E686" s="3"/>
      <c r="N686" s="3"/>
      <c r="O686" s="3"/>
    </row>
    <row r="687" spans="2:15" x14ac:dyDescent="0.45">
      <c r="B687" s="3"/>
      <c r="D687" s="3"/>
      <c r="E687" s="3"/>
      <c r="N687" s="3"/>
      <c r="O687" s="3"/>
    </row>
    <row r="688" spans="2:15" x14ac:dyDescent="0.45">
      <c r="B688" s="3"/>
      <c r="D688" s="3"/>
      <c r="E688" s="3"/>
      <c r="N688" s="3"/>
      <c r="O688" s="3"/>
    </row>
    <row r="689" spans="2:15" x14ac:dyDescent="0.45">
      <c r="B689" s="3"/>
      <c r="D689" s="3"/>
      <c r="E689" s="3"/>
      <c r="N689" s="3"/>
      <c r="O689" s="3"/>
    </row>
    <row r="690" spans="2:15" x14ac:dyDescent="0.45">
      <c r="B690" s="3"/>
      <c r="D690" s="3"/>
      <c r="E690" s="3"/>
      <c r="N690" s="3"/>
      <c r="O690" s="3"/>
    </row>
    <row r="691" spans="2:15" x14ac:dyDescent="0.45">
      <c r="B691" s="3"/>
      <c r="D691" s="3"/>
      <c r="E691" s="3"/>
      <c r="N691" s="3"/>
      <c r="O691" s="3"/>
    </row>
    <row r="692" spans="2:15" x14ac:dyDescent="0.45">
      <c r="B692" s="3"/>
      <c r="D692" s="3"/>
      <c r="E692" s="3"/>
      <c r="N692" s="3"/>
      <c r="O692" s="3"/>
    </row>
    <row r="693" spans="2:15" x14ac:dyDescent="0.45">
      <c r="B693" s="3"/>
      <c r="D693" s="3"/>
      <c r="E693" s="3"/>
      <c r="N693" s="3"/>
      <c r="O693" s="3"/>
    </row>
    <row r="694" spans="2:15" x14ac:dyDescent="0.45">
      <c r="B694" s="3"/>
      <c r="D694" s="3"/>
      <c r="E694" s="3"/>
      <c r="N694" s="3"/>
      <c r="O694" s="3"/>
    </row>
    <row r="695" spans="2:15" x14ac:dyDescent="0.45">
      <c r="B695" s="3"/>
      <c r="D695" s="3"/>
      <c r="E695" s="3"/>
      <c r="N695" s="3"/>
      <c r="O695" s="3"/>
    </row>
    <row r="696" spans="2:15" x14ac:dyDescent="0.45">
      <c r="B696" s="3"/>
      <c r="D696" s="3"/>
      <c r="E696" s="3"/>
      <c r="N696" s="3"/>
      <c r="O696" s="3"/>
    </row>
    <row r="697" spans="2:15" x14ac:dyDescent="0.45">
      <c r="B697" s="3"/>
      <c r="D697" s="3"/>
      <c r="E697" s="3"/>
      <c r="N697" s="3"/>
      <c r="O697" s="3"/>
    </row>
    <row r="698" spans="2:15" x14ac:dyDescent="0.45">
      <c r="B698" s="3"/>
      <c r="D698" s="3"/>
      <c r="E698" s="3"/>
      <c r="N698" s="3"/>
      <c r="O698" s="3"/>
    </row>
    <row r="699" spans="2:15" x14ac:dyDescent="0.45">
      <c r="B699" s="3"/>
      <c r="D699" s="3"/>
      <c r="E699" s="3"/>
      <c r="N699" s="3"/>
      <c r="O699" s="3"/>
    </row>
    <row r="700" spans="2:15" x14ac:dyDescent="0.45">
      <c r="B700" s="3"/>
      <c r="D700" s="3"/>
      <c r="E700" s="3"/>
      <c r="N700" s="3"/>
      <c r="O700" s="3"/>
    </row>
    <row r="701" spans="2:15" x14ac:dyDescent="0.45">
      <c r="B701" s="3"/>
      <c r="D701" s="3"/>
      <c r="E701" s="3"/>
      <c r="N701" s="3"/>
      <c r="O701" s="3"/>
    </row>
    <row r="702" spans="2:15" x14ac:dyDescent="0.45">
      <c r="B702" s="3"/>
      <c r="D702" s="3"/>
      <c r="E702" s="3"/>
      <c r="N702" s="3"/>
      <c r="O702" s="3"/>
    </row>
    <row r="703" spans="2:15" x14ac:dyDescent="0.45">
      <c r="B703" s="3"/>
      <c r="D703" s="3"/>
      <c r="E703" s="3"/>
      <c r="N703" s="3"/>
      <c r="O703" s="3"/>
    </row>
    <row r="704" spans="2:15" x14ac:dyDescent="0.45">
      <c r="B704" s="3"/>
      <c r="D704" s="3"/>
      <c r="E704" s="3"/>
      <c r="N704" s="3"/>
      <c r="O704" s="3"/>
    </row>
    <row r="705" spans="2:15" x14ac:dyDescent="0.45">
      <c r="B705" s="3"/>
      <c r="D705" s="3"/>
      <c r="E705" s="3"/>
      <c r="N705" s="3"/>
      <c r="O705" s="3"/>
    </row>
    <row r="706" spans="2:15" x14ac:dyDescent="0.45">
      <c r="B706" s="3"/>
      <c r="D706" s="3"/>
      <c r="E706" s="3"/>
      <c r="N706" s="3"/>
      <c r="O706" s="3"/>
    </row>
    <row r="707" spans="2:15" x14ac:dyDescent="0.45">
      <c r="B707" s="3"/>
      <c r="D707" s="3"/>
      <c r="E707" s="3"/>
      <c r="N707" s="3"/>
      <c r="O707" s="3"/>
    </row>
    <row r="708" spans="2:15" x14ac:dyDescent="0.45">
      <c r="B708" s="3"/>
      <c r="D708" s="3"/>
      <c r="E708" s="3"/>
      <c r="N708" s="3"/>
      <c r="O708" s="3"/>
    </row>
    <row r="709" spans="2:15" x14ac:dyDescent="0.45">
      <c r="B709" s="3"/>
      <c r="D709" s="3"/>
      <c r="E709" s="3"/>
      <c r="N709" s="3"/>
      <c r="O709" s="3"/>
    </row>
    <row r="710" spans="2:15" x14ac:dyDescent="0.45">
      <c r="B710" s="3"/>
      <c r="D710" s="3"/>
      <c r="E710" s="3"/>
      <c r="N710" s="3"/>
      <c r="O710" s="3"/>
    </row>
    <row r="711" spans="2:15" x14ac:dyDescent="0.45">
      <c r="B711" s="3"/>
      <c r="D711" s="3"/>
      <c r="E711" s="3"/>
      <c r="N711" s="3"/>
      <c r="O711" s="3"/>
    </row>
    <row r="712" spans="2:15" x14ac:dyDescent="0.45">
      <c r="B712" s="3"/>
      <c r="D712" s="3"/>
      <c r="E712" s="3"/>
      <c r="N712" s="3"/>
      <c r="O712" s="3"/>
    </row>
    <row r="713" spans="2:15" x14ac:dyDescent="0.45">
      <c r="B713" s="3"/>
      <c r="D713" s="3"/>
      <c r="E713" s="3"/>
      <c r="N713" s="3"/>
      <c r="O713" s="3"/>
    </row>
    <row r="714" spans="2:15" x14ac:dyDescent="0.45">
      <c r="B714" s="3"/>
      <c r="D714" s="3"/>
      <c r="E714" s="3"/>
      <c r="N714" s="3"/>
      <c r="O714" s="3"/>
    </row>
    <row r="715" spans="2:15" x14ac:dyDescent="0.45">
      <c r="B715" s="3"/>
      <c r="D715" s="3"/>
      <c r="E715" s="3"/>
      <c r="N715" s="3"/>
      <c r="O715" s="3"/>
    </row>
    <row r="716" spans="2:15" x14ac:dyDescent="0.45">
      <c r="B716" s="3"/>
      <c r="D716" s="3"/>
      <c r="E716" s="3"/>
      <c r="N716" s="3"/>
      <c r="O716" s="3"/>
    </row>
    <row r="717" spans="2:15" x14ac:dyDescent="0.45">
      <c r="B717" s="3"/>
      <c r="D717" s="3"/>
      <c r="E717" s="3"/>
      <c r="N717" s="3"/>
      <c r="O717" s="3"/>
    </row>
    <row r="718" spans="2:15" x14ac:dyDescent="0.45">
      <c r="B718" s="3"/>
      <c r="D718" s="3"/>
      <c r="E718" s="3"/>
      <c r="N718" s="3"/>
      <c r="O718" s="3"/>
    </row>
    <row r="719" spans="2:15" x14ac:dyDescent="0.45">
      <c r="B719" s="3"/>
      <c r="D719" s="3"/>
      <c r="E719" s="3"/>
      <c r="N719" s="3"/>
      <c r="O719" s="3"/>
    </row>
    <row r="720" spans="2:15" x14ac:dyDescent="0.45">
      <c r="B720" s="3"/>
      <c r="D720" s="3"/>
      <c r="E720" s="3"/>
      <c r="N720" s="3"/>
      <c r="O720" s="3"/>
    </row>
    <row r="721" spans="2:15" x14ac:dyDescent="0.45">
      <c r="B721" s="3"/>
      <c r="D721" s="3"/>
      <c r="E721" s="3"/>
      <c r="N721" s="3"/>
      <c r="O721" s="3"/>
    </row>
    <row r="722" spans="2:15" x14ac:dyDescent="0.45">
      <c r="B722" s="3"/>
      <c r="D722" s="3"/>
      <c r="E722" s="3"/>
      <c r="N722" s="3"/>
      <c r="O722" s="3"/>
    </row>
    <row r="723" spans="2:15" x14ac:dyDescent="0.45">
      <c r="B723" s="3"/>
      <c r="D723" s="3"/>
      <c r="E723" s="3"/>
      <c r="N723" s="3"/>
      <c r="O723" s="3"/>
    </row>
    <row r="724" spans="2:15" x14ac:dyDescent="0.45">
      <c r="B724" s="3"/>
      <c r="D724" s="3"/>
      <c r="E724" s="3"/>
      <c r="N724" s="3"/>
      <c r="O724" s="3"/>
    </row>
    <row r="725" spans="2:15" x14ac:dyDescent="0.45">
      <c r="B725" s="3"/>
      <c r="D725" s="3"/>
      <c r="E725" s="3"/>
      <c r="N725" s="3"/>
      <c r="O725" s="3"/>
    </row>
    <row r="726" spans="2:15" x14ac:dyDescent="0.45">
      <c r="B726" s="3"/>
      <c r="D726" s="3"/>
      <c r="E726" s="3"/>
      <c r="N726" s="3"/>
      <c r="O726" s="3"/>
    </row>
    <row r="727" spans="2:15" x14ac:dyDescent="0.45">
      <c r="B727" s="3"/>
      <c r="D727" s="3"/>
      <c r="E727" s="3"/>
      <c r="N727" s="3"/>
      <c r="O727" s="3"/>
    </row>
    <row r="728" spans="2:15" x14ac:dyDescent="0.45">
      <c r="B728" s="3"/>
      <c r="D728" s="3"/>
      <c r="E728" s="3"/>
      <c r="N728" s="3"/>
      <c r="O728" s="3"/>
    </row>
    <row r="729" spans="2:15" x14ac:dyDescent="0.45">
      <c r="B729" s="3"/>
      <c r="D729" s="3"/>
      <c r="E729" s="3"/>
      <c r="N729" s="3"/>
      <c r="O729" s="3"/>
    </row>
    <row r="730" spans="2:15" x14ac:dyDescent="0.45">
      <c r="B730" s="3"/>
      <c r="D730" s="3"/>
      <c r="E730" s="3"/>
      <c r="N730" s="3"/>
      <c r="O730" s="3"/>
    </row>
    <row r="731" spans="2:15" x14ac:dyDescent="0.45">
      <c r="B731" s="3"/>
      <c r="D731" s="3"/>
      <c r="E731" s="3"/>
      <c r="N731" s="3"/>
      <c r="O731" s="3"/>
    </row>
  </sheetData>
  <sortState xmlns:xlrd2="http://schemas.microsoft.com/office/spreadsheetml/2017/richdata2" ref="A2:Q307">
    <sortCondition ref="B306:B307"/>
  </sortState>
  <dataValidations count="1">
    <dataValidation type="whole" allowBlank="1" showInputMessage="1" showErrorMessage="1" errorTitle="Invalid entry" error="Enter a whole number between 0 and 3." promptTitle="Discount number" prompt="Enter a whole number between 0 and 3." sqref="N2:N307" xr:uid="{1423DF08-1469-4344-BB33-2B3D7CDE2132}">
      <formula1>0</formula1>
      <formula2>3</formula2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A5A2-9FB6-4EF0-9D01-6E008DDC9587}">
  <dimension ref="A1:I14"/>
  <sheetViews>
    <sheetView zoomScale="105" zoomScaleNormal="70" workbookViewId="0">
      <selection activeCell="F10" sqref="F10"/>
    </sheetView>
  </sheetViews>
  <sheetFormatPr baseColWidth="10" defaultColWidth="9.06640625" defaultRowHeight="14.25" x14ac:dyDescent="0.45"/>
  <cols>
    <col min="1" max="1" width="15.33203125" customWidth="1"/>
    <col min="2" max="2" width="27.19921875" bestFit="1" customWidth="1"/>
    <col min="3" max="3" width="11.796875" bestFit="1" customWidth="1"/>
    <col min="4" max="4" width="12.46484375" bestFit="1" customWidth="1"/>
    <col min="5" max="5" width="11.796875" bestFit="1" customWidth="1"/>
    <col min="6" max="6" width="13.1328125" bestFit="1" customWidth="1"/>
    <col min="7" max="7" width="25.796875" bestFit="1" customWidth="1"/>
    <col min="8" max="8" width="11.19921875" bestFit="1" customWidth="1"/>
    <col min="9" max="9" width="12.33203125" bestFit="1" customWidth="1"/>
  </cols>
  <sheetData>
    <row r="1" spans="1:9" ht="17.25" thickBot="1" x14ac:dyDescent="0.55000000000000004">
      <c r="A1" s="1" t="s">
        <v>211</v>
      </c>
      <c r="B1" s="1" t="s">
        <v>26</v>
      </c>
      <c r="C1" s="1" t="s">
        <v>25</v>
      </c>
      <c r="D1" s="1" t="s">
        <v>212</v>
      </c>
      <c r="F1" s="1" t="s">
        <v>211</v>
      </c>
      <c r="G1" s="1" t="s">
        <v>26</v>
      </c>
      <c r="H1" s="1" t="s">
        <v>25</v>
      </c>
      <c r="I1" s="1" t="s">
        <v>212</v>
      </c>
    </row>
    <row r="2" spans="1:9" ht="14.65" thickTop="1" x14ac:dyDescent="0.45">
      <c r="A2" t="s">
        <v>213</v>
      </c>
      <c r="B2" t="s">
        <v>214</v>
      </c>
      <c r="C2" t="s">
        <v>64</v>
      </c>
      <c r="D2" s="4">
        <v>5.95</v>
      </c>
      <c r="F2" t="str" cm="1">
        <f t="array" ref="F2:I14">_xlfn.SORTBY(A2:D14,A2:A14,1,B2:B14,1)</f>
        <v>Honey</v>
      </c>
      <c r="G2" t="str">
        <v>Buckwheat honey</v>
      </c>
      <c r="H2" t="str">
        <v>H-3</v>
      </c>
      <c r="I2" s="4">
        <v>9</v>
      </c>
    </row>
    <row r="3" spans="1:9" x14ac:dyDescent="0.45">
      <c r="A3" t="s">
        <v>213</v>
      </c>
      <c r="B3" t="s">
        <v>215</v>
      </c>
      <c r="C3" t="s">
        <v>70</v>
      </c>
      <c r="D3" s="4">
        <v>5.95</v>
      </c>
      <c r="F3" t="str">
        <v>Honey</v>
      </c>
      <c r="G3" t="str">
        <v>Clover honey</v>
      </c>
      <c r="H3" t="str">
        <v>H-1</v>
      </c>
      <c r="I3" s="4">
        <v>9</v>
      </c>
    </row>
    <row r="4" spans="1:9" x14ac:dyDescent="0.45">
      <c r="A4" t="s">
        <v>213</v>
      </c>
      <c r="B4" t="s">
        <v>216</v>
      </c>
      <c r="C4" t="s">
        <v>36</v>
      </c>
      <c r="D4" s="4">
        <v>5.95</v>
      </c>
      <c r="F4" t="str">
        <v>Honey</v>
      </c>
      <c r="G4" t="str">
        <v>Wildflower honey</v>
      </c>
      <c r="H4" t="str">
        <v>H-2</v>
      </c>
      <c r="I4" s="4">
        <v>9</v>
      </c>
    </row>
    <row r="5" spans="1:9" x14ac:dyDescent="0.45">
      <c r="A5" t="s">
        <v>217</v>
      </c>
      <c r="B5" t="s">
        <v>218</v>
      </c>
      <c r="C5" t="s">
        <v>57</v>
      </c>
      <c r="D5" s="4">
        <v>9</v>
      </c>
      <c r="F5" t="str">
        <v>Jams and Jellies</v>
      </c>
      <c r="G5" t="str">
        <v>Mixed berry jam</v>
      </c>
      <c r="H5" t="str">
        <v>JJ-2</v>
      </c>
      <c r="I5" s="4">
        <v>7.5</v>
      </c>
    </row>
    <row r="6" spans="1:9" x14ac:dyDescent="0.45">
      <c r="A6" t="s">
        <v>217</v>
      </c>
      <c r="B6" t="s">
        <v>219</v>
      </c>
      <c r="C6" t="s">
        <v>59</v>
      </c>
      <c r="D6" s="4">
        <v>9</v>
      </c>
      <c r="F6" t="str">
        <v>Jams and Jellies</v>
      </c>
      <c r="G6" t="str">
        <v>Mixed berry jelly</v>
      </c>
      <c r="H6" t="str">
        <v>JJ-3</v>
      </c>
      <c r="I6" s="4">
        <v>7.5</v>
      </c>
    </row>
    <row r="7" spans="1:9" x14ac:dyDescent="0.45">
      <c r="A7" t="s">
        <v>217</v>
      </c>
      <c r="B7" t="s">
        <v>220</v>
      </c>
      <c r="C7" t="s">
        <v>61</v>
      </c>
      <c r="D7" s="4">
        <v>9</v>
      </c>
      <c r="F7" t="str">
        <v>Jams and Jellies</v>
      </c>
      <c r="G7" t="str">
        <v>Rhubarb-strawberry compote</v>
      </c>
      <c r="H7" t="str">
        <v>JJ-4</v>
      </c>
      <c r="I7" s="4">
        <v>8</v>
      </c>
    </row>
    <row r="8" spans="1:9" x14ac:dyDescent="0.45">
      <c r="A8" t="s">
        <v>221</v>
      </c>
      <c r="B8" t="s">
        <v>222</v>
      </c>
      <c r="C8" t="s">
        <v>52</v>
      </c>
      <c r="D8" s="4">
        <v>7.5</v>
      </c>
      <c r="F8" t="str">
        <v>Jams and Jellies</v>
      </c>
      <c r="G8" t="str">
        <v>Strawberry jam</v>
      </c>
      <c r="H8" t="str">
        <v>JJ-1</v>
      </c>
      <c r="I8" s="4">
        <v>7.5</v>
      </c>
    </row>
    <row r="9" spans="1:9" x14ac:dyDescent="0.45">
      <c r="A9" t="s">
        <v>221</v>
      </c>
      <c r="B9" t="s">
        <v>223</v>
      </c>
      <c r="C9" t="s">
        <v>68</v>
      </c>
      <c r="D9" s="4">
        <v>7.5</v>
      </c>
      <c r="F9" t="str">
        <v>Lotions</v>
      </c>
      <c r="G9" t="str">
        <v>Goat milk and honey cream</v>
      </c>
      <c r="H9" t="str">
        <v>L-2</v>
      </c>
      <c r="I9" s="4">
        <v>12</v>
      </c>
    </row>
    <row r="10" spans="1:9" x14ac:dyDescent="0.45">
      <c r="A10" t="s">
        <v>221</v>
      </c>
      <c r="B10" t="s">
        <v>224</v>
      </c>
      <c r="C10" t="s">
        <v>47</v>
      </c>
      <c r="D10" s="4">
        <v>7.5</v>
      </c>
      <c r="F10" t="str">
        <v>Lotions</v>
      </c>
      <c r="G10" t="str">
        <v>Goat milk hand and body lotion</v>
      </c>
      <c r="H10" t="str">
        <v>L-1</v>
      </c>
      <c r="I10" s="4">
        <v>12</v>
      </c>
    </row>
    <row r="11" spans="1:9" x14ac:dyDescent="0.45">
      <c r="A11" t="s">
        <v>221</v>
      </c>
      <c r="B11" t="s">
        <v>225</v>
      </c>
      <c r="C11" t="s">
        <v>39</v>
      </c>
      <c r="D11" s="4">
        <v>8</v>
      </c>
      <c r="F11" t="str">
        <v>Lotions</v>
      </c>
      <c r="G11" t="str">
        <v>Oatmeal hand and body lotion</v>
      </c>
      <c r="H11" t="str">
        <v>L-3</v>
      </c>
      <c r="I11" s="4">
        <v>12</v>
      </c>
    </row>
    <row r="12" spans="1:9" x14ac:dyDescent="0.45">
      <c r="A12" t="s">
        <v>226</v>
      </c>
      <c r="B12" t="s">
        <v>227</v>
      </c>
      <c r="C12" t="s">
        <v>99</v>
      </c>
      <c r="D12" s="4">
        <v>12</v>
      </c>
      <c r="F12" t="str">
        <v>Organic soap</v>
      </c>
      <c r="G12" t="str">
        <v>Goat milk soap</v>
      </c>
      <c r="H12" t="str">
        <v>OS-3</v>
      </c>
      <c r="I12" s="4">
        <v>5.95</v>
      </c>
    </row>
    <row r="13" spans="1:9" x14ac:dyDescent="0.45">
      <c r="A13" t="s">
        <v>226</v>
      </c>
      <c r="B13" t="s">
        <v>228</v>
      </c>
      <c r="C13" t="s">
        <v>44</v>
      </c>
      <c r="D13" s="4">
        <v>12</v>
      </c>
      <c r="F13" t="str">
        <v>Organic soap</v>
      </c>
      <c r="G13" t="str">
        <v>Oatmeal soap</v>
      </c>
      <c r="H13" t="str">
        <v>OS-1</v>
      </c>
      <c r="I13" s="4">
        <v>5.95</v>
      </c>
    </row>
    <row r="14" spans="1:9" x14ac:dyDescent="0.45">
      <c r="A14" t="s">
        <v>226</v>
      </c>
      <c r="B14" t="s">
        <v>229</v>
      </c>
      <c r="C14" t="s">
        <v>82</v>
      </c>
      <c r="D14" s="4">
        <v>12</v>
      </c>
      <c r="F14" t="str">
        <v>Organic soap</v>
      </c>
      <c r="G14" t="str">
        <v>Strawberry summer soap</v>
      </c>
      <c r="H14" t="str">
        <v>OS-2</v>
      </c>
      <c r="I14" s="4">
        <v>5.95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C07AD-51F8-4FC6-B502-58F517E49481}">
  <dimension ref="A1"/>
  <sheetViews>
    <sheetView workbookViewId="0">
      <selection activeCell="P11" sqref="P11"/>
    </sheetView>
  </sheetViews>
  <sheetFormatPr baseColWidth="10" defaultColWidth="9.06640625" defaultRowHeight="14.25" x14ac:dyDescent="0.4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1CD04-D4F4-41F5-ADD0-F55C7D29E281}">
  <dimension ref="A1:E62"/>
  <sheetViews>
    <sheetView zoomScale="115" zoomScaleNormal="115" workbookViewId="0">
      <selection activeCell="D5" sqref="D5"/>
    </sheetView>
  </sheetViews>
  <sheetFormatPr baseColWidth="10" defaultColWidth="9.06640625" defaultRowHeight="14.25" x14ac:dyDescent="0.45"/>
  <cols>
    <col min="1" max="1" width="36" bestFit="1" customWidth="1"/>
    <col min="2" max="2" width="15.33203125" bestFit="1" customWidth="1"/>
    <col min="3" max="3" width="13.6640625" customWidth="1"/>
    <col min="4" max="4" width="44.1328125" bestFit="1" customWidth="1"/>
    <col min="5" max="5" width="19.33203125" customWidth="1"/>
  </cols>
  <sheetData>
    <row r="1" spans="1:5" ht="74.55" customHeight="1" x14ac:dyDescent="0.45">
      <c r="A1" s="42" t="s">
        <v>230</v>
      </c>
      <c r="B1" s="42"/>
      <c r="C1" s="11"/>
      <c r="D1" s="40" t="s">
        <v>673</v>
      </c>
      <c r="E1" s="13"/>
    </row>
    <row r="2" spans="1:5" ht="27.75" customHeight="1" x14ac:dyDescent="0.45">
      <c r="A2" s="21" t="s">
        <v>231</v>
      </c>
      <c r="B2" s="22" t="s">
        <v>232</v>
      </c>
    </row>
    <row r="3" spans="1:5" x14ac:dyDescent="0.45">
      <c r="A3" s="20">
        <v>44713</v>
      </c>
      <c r="B3" s="2">
        <v>0.91</v>
      </c>
    </row>
    <row r="4" spans="1:5" x14ac:dyDescent="0.45">
      <c r="A4" s="20">
        <v>44715</v>
      </c>
      <c r="B4" s="2">
        <v>0.85</v>
      </c>
    </row>
    <row r="5" spans="1:5" x14ac:dyDescent="0.45">
      <c r="A5" s="20">
        <v>44716</v>
      </c>
      <c r="B5" s="2">
        <v>0.92</v>
      </c>
    </row>
    <row r="6" spans="1:5" x14ac:dyDescent="0.45">
      <c r="A6" s="20">
        <v>44720</v>
      </c>
      <c r="B6" s="2">
        <v>0.86</v>
      </c>
    </row>
    <row r="7" spans="1:5" x14ac:dyDescent="0.45">
      <c r="A7" s="20">
        <v>44722</v>
      </c>
      <c r="B7" s="2">
        <v>0.63</v>
      </c>
    </row>
    <row r="8" spans="1:5" x14ac:dyDescent="0.45">
      <c r="A8" s="20">
        <v>44723</v>
      </c>
      <c r="B8" s="2">
        <v>0.49</v>
      </c>
    </row>
    <row r="9" spans="1:5" x14ac:dyDescent="0.45">
      <c r="A9" s="20">
        <v>44727</v>
      </c>
      <c r="B9" s="2">
        <v>0.82000000000000006</v>
      </c>
    </row>
    <row r="10" spans="1:5" x14ac:dyDescent="0.45">
      <c r="A10" s="20">
        <v>44729</v>
      </c>
      <c r="B10" s="2">
        <v>0.77</v>
      </c>
    </row>
    <row r="11" spans="1:5" x14ac:dyDescent="0.45">
      <c r="A11" s="20">
        <v>44730</v>
      </c>
      <c r="B11" s="2">
        <v>0.79</v>
      </c>
    </row>
    <row r="12" spans="1:5" x14ac:dyDescent="0.45">
      <c r="A12" s="20">
        <v>44734</v>
      </c>
      <c r="B12" s="2">
        <v>0.89</v>
      </c>
    </row>
    <row r="13" spans="1:5" x14ac:dyDescent="0.45">
      <c r="A13" s="20">
        <v>44736</v>
      </c>
      <c r="B13" s="2">
        <v>0.96</v>
      </c>
    </row>
    <row r="14" spans="1:5" x14ac:dyDescent="0.45">
      <c r="A14" s="20">
        <v>44737</v>
      </c>
      <c r="B14" s="2">
        <v>0.87</v>
      </c>
    </row>
    <row r="15" spans="1:5" x14ac:dyDescent="0.45">
      <c r="A15" s="20">
        <v>44741</v>
      </c>
      <c r="B15" s="2">
        <v>0.37</v>
      </c>
    </row>
    <row r="16" spans="1:5" x14ac:dyDescent="0.45">
      <c r="A16" s="20">
        <v>44743</v>
      </c>
      <c r="B16" s="2">
        <v>0.89</v>
      </c>
    </row>
    <row r="17" spans="1:2" x14ac:dyDescent="0.45">
      <c r="A17" s="20">
        <v>44744</v>
      </c>
      <c r="B17" s="2">
        <v>0.59</v>
      </c>
    </row>
    <row r="18" spans="1:2" x14ac:dyDescent="0.45">
      <c r="A18" s="20">
        <v>44748</v>
      </c>
      <c r="B18" s="2">
        <v>0.77</v>
      </c>
    </row>
    <row r="19" spans="1:2" x14ac:dyDescent="0.45">
      <c r="A19" s="20">
        <v>44750</v>
      </c>
      <c r="B19" s="2">
        <v>0.83000000000000007</v>
      </c>
    </row>
    <row r="20" spans="1:2" x14ac:dyDescent="0.45">
      <c r="A20" s="20">
        <v>44751</v>
      </c>
      <c r="B20" s="2">
        <v>0.9</v>
      </c>
    </row>
    <row r="21" spans="1:2" x14ac:dyDescent="0.45">
      <c r="A21" s="20">
        <v>44755</v>
      </c>
      <c r="B21" s="2">
        <v>0.81</v>
      </c>
    </row>
    <row r="22" spans="1:2" x14ac:dyDescent="0.45">
      <c r="A22" s="20">
        <v>44757</v>
      </c>
      <c r="B22" s="2">
        <v>0.34</v>
      </c>
    </row>
    <row r="23" spans="1:2" x14ac:dyDescent="0.45">
      <c r="A23" s="20">
        <v>44758</v>
      </c>
      <c r="B23" s="2">
        <v>0.39</v>
      </c>
    </row>
    <row r="24" spans="1:2" x14ac:dyDescent="0.45">
      <c r="A24" s="20">
        <v>44762</v>
      </c>
      <c r="B24" s="2">
        <v>0.82000000000000006</v>
      </c>
    </row>
    <row r="25" spans="1:2" x14ac:dyDescent="0.45">
      <c r="A25" s="20">
        <v>44764</v>
      </c>
      <c r="B25" s="2">
        <v>0.72</v>
      </c>
    </row>
    <row r="26" spans="1:2" x14ac:dyDescent="0.45">
      <c r="A26" s="20">
        <v>44765</v>
      </c>
      <c r="B26" s="2">
        <v>0.32</v>
      </c>
    </row>
    <row r="27" spans="1:2" x14ac:dyDescent="0.45">
      <c r="A27" s="20">
        <v>44769</v>
      </c>
      <c r="B27" s="2">
        <v>0.45</v>
      </c>
    </row>
    <row r="28" spans="1:2" x14ac:dyDescent="0.45">
      <c r="A28" s="20">
        <v>44771</v>
      </c>
      <c r="B28" s="2">
        <v>0.54</v>
      </c>
    </row>
    <row r="29" spans="1:2" x14ac:dyDescent="0.45">
      <c r="A29" s="20">
        <v>44772</v>
      </c>
      <c r="B29" s="2">
        <v>0.87</v>
      </c>
    </row>
    <row r="30" spans="1:2" x14ac:dyDescent="0.45">
      <c r="A30" s="20">
        <v>44776</v>
      </c>
      <c r="B30" s="2">
        <v>0.49</v>
      </c>
    </row>
    <row r="31" spans="1:2" x14ac:dyDescent="0.45">
      <c r="A31" s="20">
        <v>44778</v>
      </c>
      <c r="B31" s="2">
        <v>0.37</v>
      </c>
    </row>
    <row r="32" spans="1:2" x14ac:dyDescent="0.45">
      <c r="A32" s="20">
        <v>44779</v>
      </c>
      <c r="B32" s="2">
        <v>0.73</v>
      </c>
    </row>
    <row r="33" spans="1:2" x14ac:dyDescent="0.45">
      <c r="A33" s="20">
        <v>44783</v>
      </c>
      <c r="B33" s="2">
        <v>0.52</v>
      </c>
    </row>
    <row r="34" spans="1:2" x14ac:dyDescent="0.45">
      <c r="A34" s="20">
        <v>44785</v>
      </c>
      <c r="B34" s="2">
        <v>0.44</v>
      </c>
    </row>
    <row r="35" spans="1:2" x14ac:dyDescent="0.45">
      <c r="A35" s="20">
        <v>44786</v>
      </c>
      <c r="B35" s="2">
        <v>0.92</v>
      </c>
    </row>
    <row r="36" spans="1:2" x14ac:dyDescent="0.45">
      <c r="A36" s="20">
        <v>44790</v>
      </c>
      <c r="B36" s="2">
        <v>0.78</v>
      </c>
    </row>
    <row r="37" spans="1:2" x14ac:dyDescent="0.45">
      <c r="A37" s="20">
        <v>44792</v>
      </c>
      <c r="B37" s="2">
        <v>0.63</v>
      </c>
    </row>
    <row r="38" spans="1:2" x14ac:dyDescent="0.45">
      <c r="A38" s="20">
        <v>44793</v>
      </c>
      <c r="B38" s="2">
        <v>0.62</v>
      </c>
    </row>
    <row r="39" spans="1:2" x14ac:dyDescent="0.45">
      <c r="A39" s="20">
        <v>44797</v>
      </c>
      <c r="B39" s="2">
        <v>0.56000000000000005</v>
      </c>
    </row>
    <row r="40" spans="1:2" x14ac:dyDescent="0.45">
      <c r="A40" s="20">
        <v>44799</v>
      </c>
      <c r="B40" s="2">
        <v>0.78</v>
      </c>
    </row>
    <row r="41" spans="1:2" x14ac:dyDescent="0.45">
      <c r="A41" s="20">
        <v>44800</v>
      </c>
      <c r="B41" s="2">
        <v>0.96</v>
      </c>
    </row>
    <row r="42" spans="1:2" x14ac:dyDescent="0.45">
      <c r="A42" s="20">
        <v>44804</v>
      </c>
      <c r="B42" s="2">
        <v>0.77</v>
      </c>
    </row>
    <row r="43" spans="1:2" x14ac:dyDescent="0.45">
      <c r="A43" s="20">
        <v>44806</v>
      </c>
      <c r="B43" s="2">
        <v>0.68</v>
      </c>
    </row>
    <row r="44" spans="1:2" x14ac:dyDescent="0.45">
      <c r="A44" s="20">
        <v>44807</v>
      </c>
      <c r="B44" s="2">
        <v>0.42</v>
      </c>
    </row>
    <row r="45" spans="1:2" x14ac:dyDescent="0.45">
      <c r="A45" s="20">
        <v>44811</v>
      </c>
      <c r="B45" s="2">
        <v>0.91</v>
      </c>
    </row>
    <row r="46" spans="1:2" x14ac:dyDescent="0.45">
      <c r="A46" s="20">
        <v>44813</v>
      </c>
      <c r="B46" s="2">
        <v>0.88</v>
      </c>
    </row>
    <row r="47" spans="1:2" x14ac:dyDescent="0.45">
      <c r="A47" s="20">
        <v>44814</v>
      </c>
      <c r="B47" s="2">
        <v>0.76</v>
      </c>
    </row>
    <row r="48" spans="1:2" x14ac:dyDescent="0.45">
      <c r="A48" s="20">
        <v>44818</v>
      </c>
      <c r="B48" s="2">
        <v>0.92</v>
      </c>
    </row>
    <row r="49" spans="1:2" x14ac:dyDescent="0.45">
      <c r="A49" s="20">
        <v>44820</v>
      </c>
      <c r="B49" s="2">
        <v>0.66</v>
      </c>
    </row>
    <row r="50" spans="1:2" x14ac:dyDescent="0.45">
      <c r="A50" s="20">
        <v>44821</v>
      </c>
      <c r="B50" s="2">
        <v>0.42</v>
      </c>
    </row>
    <row r="51" spans="1:2" x14ac:dyDescent="0.45">
      <c r="A51" s="20">
        <v>44825</v>
      </c>
      <c r="B51" s="2">
        <v>0.71</v>
      </c>
    </row>
    <row r="52" spans="1:2" x14ac:dyDescent="0.45">
      <c r="A52" s="20">
        <v>44827</v>
      </c>
      <c r="B52" s="2">
        <v>0.62</v>
      </c>
    </row>
    <row r="53" spans="1:2" x14ac:dyDescent="0.45">
      <c r="A53" s="20">
        <v>44828</v>
      </c>
      <c r="B53" s="2">
        <v>0.31</v>
      </c>
    </row>
    <row r="54" spans="1:2" x14ac:dyDescent="0.45">
      <c r="A54" s="20">
        <v>44832</v>
      </c>
      <c r="B54" s="2">
        <v>0.78</v>
      </c>
    </row>
    <row r="55" spans="1:2" x14ac:dyDescent="0.45">
      <c r="A55" s="20">
        <v>44834</v>
      </c>
      <c r="B55" s="2">
        <v>0.98</v>
      </c>
    </row>
    <row r="56" spans="1:2" x14ac:dyDescent="0.45">
      <c r="A56" s="20">
        <v>44835</v>
      </c>
      <c r="B56" s="2">
        <v>0.45</v>
      </c>
    </row>
    <row r="57" spans="1:2" x14ac:dyDescent="0.45">
      <c r="A57" s="20">
        <v>44839</v>
      </c>
      <c r="B57" s="2">
        <v>0.77</v>
      </c>
    </row>
    <row r="58" spans="1:2" x14ac:dyDescent="0.45">
      <c r="A58" s="20">
        <v>44841</v>
      </c>
      <c r="B58" s="2">
        <v>0.91</v>
      </c>
    </row>
    <row r="59" spans="1:2" x14ac:dyDescent="0.45">
      <c r="A59" s="20">
        <v>44842</v>
      </c>
      <c r="B59" s="2">
        <v>0.72</v>
      </c>
    </row>
    <row r="60" spans="1:2" x14ac:dyDescent="0.45">
      <c r="A60" s="20">
        <v>44846</v>
      </c>
      <c r="B60" s="2">
        <v>0.36</v>
      </c>
    </row>
    <row r="61" spans="1:2" x14ac:dyDescent="0.45">
      <c r="A61" s="20">
        <v>44848</v>
      </c>
      <c r="B61" s="2">
        <v>0.4</v>
      </c>
    </row>
    <row r="62" spans="1:2" x14ac:dyDescent="0.45">
      <c r="A62" s="20">
        <v>44849</v>
      </c>
      <c r="B62" s="2">
        <v>1</v>
      </c>
    </row>
  </sheetData>
  <mergeCells count="1">
    <mergeCell ref="A1:B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AE9E7-C795-4A29-9821-1145D8D462F7}">
  <dimension ref="A1:M146"/>
  <sheetViews>
    <sheetView workbookViewId="0"/>
  </sheetViews>
  <sheetFormatPr baseColWidth="10" defaultColWidth="9.06640625" defaultRowHeight="14.25" x14ac:dyDescent="0.45"/>
  <cols>
    <col min="1" max="1" width="18.46484375" bestFit="1" customWidth="1"/>
    <col min="2" max="3" width="15.53125" customWidth="1"/>
    <col min="4" max="4" width="20.33203125" customWidth="1"/>
    <col min="5" max="5" width="21.796875" customWidth="1"/>
    <col min="6" max="6" width="13.33203125" bestFit="1" customWidth="1"/>
    <col min="7" max="7" width="13.33203125" customWidth="1"/>
    <col min="8" max="8" width="15.53125" bestFit="1" customWidth="1"/>
    <col min="9" max="9" width="12.6640625" bestFit="1" customWidth="1"/>
    <col min="10" max="10" width="11.6640625" customWidth="1"/>
    <col min="11" max="12" width="21.796875" customWidth="1"/>
    <col min="13" max="13" width="11.33203125" bestFit="1" customWidth="1"/>
  </cols>
  <sheetData>
    <row r="1" spans="1:13" x14ac:dyDescent="0.45">
      <c r="A1" t="s">
        <v>22</v>
      </c>
      <c r="B1" t="s">
        <v>233</v>
      </c>
      <c r="C1" t="s">
        <v>234</v>
      </c>
      <c r="D1" t="s">
        <v>235</v>
      </c>
      <c r="E1" t="s">
        <v>236</v>
      </c>
      <c r="F1" t="s">
        <v>24</v>
      </c>
      <c r="G1" t="s">
        <v>237</v>
      </c>
      <c r="H1" t="s">
        <v>238</v>
      </c>
      <c r="I1" t="s">
        <v>239</v>
      </c>
      <c r="J1" t="s">
        <v>240</v>
      </c>
      <c r="K1" t="s">
        <v>241</v>
      </c>
      <c r="L1" t="s">
        <v>242</v>
      </c>
      <c r="M1" t="s">
        <v>243</v>
      </c>
    </row>
    <row r="2" spans="1:13" x14ac:dyDescent="0.45">
      <c r="A2">
        <v>10061</v>
      </c>
      <c r="B2" t="s">
        <v>244</v>
      </c>
      <c r="C2" t="s">
        <v>245</v>
      </c>
      <c r="D2" t="str">
        <f>Customers[[#This Row],[First name]]&amp;" "&amp;Customers[[#This Row],[Last name]]</f>
        <v>Jacob Schreiner</v>
      </c>
      <c r="E2" t="s">
        <v>246</v>
      </c>
      <c r="F2" t="s">
        <v>41</v>
      </c>
      <c r="G2" t="s">
        <v>247</v>
      </c>
      <c r="H2" t="s">
        <v>248</v>
      </c>
      <c r="I2">
        <v>88204</v>
      </c>
      <c r="J2" t="s">
        <v>249</v>
      </c>
      <c r="K2" t="s">
        <v>250</v>
      </c>
      <c r="L2" t="s">
        <v>251</v>
      </c>
      <c r="M2" t="s">
        <v>252</v>
      </c>
    </row>
    <row r="3" spans="1:13" x14ac:dyDescent="0.45">
      <c r="A3">
        <v>10075</v>
      </c>
      <c r="B3" t="s">
        <v>253</v>
      </c>
      <c r="C3" t="s">
        <v>254</v>
      </c>
      <c r="D3" t="str">
        <f>Customers[[#This Row],[First name]]&amp;" "&amp;Customers[[#This Row],[Last name]]</f>
        <v>Ruth Miranda</v>
      </c>
      <c r="E3" t="s">
        <v>255</v>
      </c>
      <c r="F3" t="s">
        <v>41</v>
      </c>
      <c r="G3" t="s">
        <v>247</v>
      </c>
      <c r="H3" t="s">
        <v>248</v>
      </c>
      <c r="I3">
        <v>67839</v>
      </c>
      <c r="J3" t="s">
        <v>256</v>
      </c>
      <c r="K3" t="s">
        <v>257</v>
      </c>
      <c r="L3" t="s">
        <v>258</v>
      </c>
      <c r="M3" t="s">
        <v>259</v>
      </c>
    </row>
    <row r="4" spans="1:13" x14ac:dyDescent="0.45">
      <c r="A4">
        <v>10340</v>
      </c>
      <c r="B4" t="s">
        <v>260</v>
      </c>
      <c r="C4" t="s">
        <v>261</v>
      </c>
      <c r="D4" t="str">
        <f>Customers[[#This Row],[First name]]&amp;" "&amp;Customers[[#This Row],[Last name]]</f>
        <v>Alhasan Homsi</v>
      </c>
      <c r="E4" t="s">
        <v>246</v>
      </c>
      <c r="F4" t="s">
        <v>63</v>
      </c>
      <c r="G4" t="s">
        <v>247</v>
      </c>
      <c r="H4" t="s">
        <v>248</v>
      </c>
      <c r="I4">
        <v>55778</v>
      </c>
      <c r="J4" t="s">
        <v>262</v>
      </c>
      <c r="K4" t="s">
        <v>263</v>
      </c>
      <c r="L4" t="s">
        <v>251</v>
      </c>
      <c r="M4" t="s">
        <v>259</v>
      </c>
    </row>
    <row r="5" spans="1:13" x14ac:dyDescent="0.45">
      <c r="A5">
        <v>10523</v>
      </c>
      <c r="B5" t="s">
        <v>264</v>
      </c>
      <c r="C5" t="s">
        <v>265</v>
      </c>
      <c r="D5" t="str">
        <f>Customers[[#This Row],[First name]]&amp;" "&amp;Customers[[#This Row],[Last name]]</f>
        <v>Xia Mai</v>
      </c>
      <c r="E5" t="s">
        <v>266</v>
      </c>
      <c r="F5" t="s">
        <v>38</v>
      </c>
      <c r="G5" t="s">
        <v>247</v>
      </c>
      <c r="H5" t="s">
        <v>248</v>
      </c>
      <c r="I5">
        <v>34512</v>
      </c>
      <c r="J5" t="s">
        <v>267</v>
      </c>
      <c r="K5" t="s">
        <v>250</v>
      </c>
      <c r="L5" t="s">
        <v>251</v>
      </c>
      <c r="M5" t="s">
        <v>259</v>
      </c>
    </row>
    <row r="6" spans="1:13" x14ac:dyDescent="0.45">
      <c r="A6">
        <v>10550</v>
      </c>
      <c r="B6" t="s">
        <v>268</v>
      </c>
      <c r="C6" t="s">
        <v>269</v>
      </c>
      <c r="D6" t="str">
        <f>Customers[[#This Row],[First name]]&amp;" "&amp;Customers[[#This Row],[Last name]]</f>
        <v>Kyle Hatley</v>
      </c>
      <c r="E6" t="s">
        <v>270</v>
      </c>
      <c r="F6" t="s">
        <v>145</v>
      </c>
      <c r="G6" t="s">
        <v>247</v>
      </c>
      <c r="H6" t="s">
        <v>248</v>
      </c>
      <c r="I6">
        <v>23402</v>
      </c>
      <c r="J6" t="s">
        <v>271</v>
      </c>
      <c r="K6" t="s">
        <v>263</v>
      </c>
      <c r="L6" t="s">
        <v>258</v>
      </c>
      <c r="M6" t="s">
        <v>259</v>
      </c>
    </row>
    <row r="7" spans="1:13" x14ac:dyDescent="0.45">
      <c r="A7">
        <v>10553</v>
      </c>
      <c r="B7" t="s">
        <v>272</v>
      </c>
      <c r="C7" t="s">
        <v>273</v>
      </c>
      <c r="D7" t="str">
        <f>Customers[[#This Row],[First name]]&amp;" "&amp;Customers[[#This Row],[Last name]]</f>
        <v>Reem Al-Zuhairi</v>
      </c>
      <c r="E7" t="s">
        <v>246</v>
      </c>
      <c r="F7" t="s">
        <v>49</v>
      </c>
      <c r="G7" t="s">
        <v>247</v>
      </c>
      <c r="H7" t="s">
        <v>248</v>
      </c>
      <c r="I7">
        <v>56984</v>
      </c>
      <c r="J7" t="s">
        <v>274</v>
      </c>
      <c r="K7" t="s">
        <v>263</v>
      </c>
      <c r="L7" t="s">
        <v>275</v>
      </c>
      <c r="M7" t="s">
        <v>259</v>
      </c>
    </row>
    <row r="8" spans="1:13" x14ac:dyDescent="0.45">
      <c r="A8">
        <v>10558</v>
      </c>
      <c r="B8" t="s">
        <v>276</v>
      </c>
      <c r="C8" t="s">
        <v>277</v>
      </c>
      <c r="D8" t="str">
        <f>Customers[[#This Row],[First name]]&amp;" "&amp;Customers[[#This Row],[Last name]]</f>
        <v>Jiang Li Xin</v>
      </c>
      <c r="E8" t="s">
        <v>278</v>
      </c>
      <c r="F8" t="s">
        <v>41</v>
      </c>
      <c r="G8" t="s">
        <v>247</v>
      </c>
      <c r="H8" t="s">
        <v>248</v>
      </c>
      <c r="I8">
        <v>98107</v>
      </c>
      <c r="J8" t="s">
        <v>279</v>
      </c>
      <c r="K8" t="s">
        <v>263</v>
      </c>
      <c r="L8" t="s">
        <v>258</v>
      </c>
      <c r="M8" t="s">
        <v>259</v>
      </c>
    </row>
    <row r="9" spans="1:13" x14ac:dyDescent="0.45">
      <c r="A9">
        <v>10681</v>
      </c>
      <c r="B9" t="s">
        <v>280</v>
      </c>
      <c r="C9" t="s">
        <v>281</v>
      </c>
      <c r="D9" t="str">
        <f>Customers[[#This Row],[First name]]&amp;" "&amp;Customers[[#This Row],[Last name]]</f>
        <v>Angel Arteaga</v>
      </c>
      <c r="E9" t="s">
        <v>282</v>
      </c>
      <c r="F9" t="s">
        <v>49</v>
      </c>
      <c r="G9" t="s">
        <v>247</v>
      </c>
      <c r="H9" t="s">
        <v>248</v>
      </c>
      <c r="I9">
        <v>98107</v>
      </c>
      <c r="J9" t="s">
        <v>283</v>
      </c>
      <c r="K9" t="s">
        <v>257</v>
      </c>
      <c r="L9" t="s">
        <v>258</v>
      </c>
      <c r="M9" t="s">
        <v>259</v>
      </c>
    </row>
    <row r="10" spans="1:13" x14ac:dyDescent="0.45">
      <c r="A10">
        <v>10734</v>
      </c>
      <c r="B10" t="s">
        <v>284</v>
      </c>
      <c r="C10" t="s">
        <v>285</v>
      </c>
      <c r="D10" t="str">
        <f>Customers[[#This Row],[First name]]&amp;" "&amp;Customers[[#This Row],[Last name]]</f>
        <v>Sonia Lynch</v>
      </c>
      <c r="E10" t="s">
        <v>286</v>
      </c>
      <c r="F10" t="s">
        <v>56</v>
      </c>
      <c r="G10" t="s">
        <v>287</v>
      </c>
      <c r="H10" t="s">
        <v>248</v>
      </c>
      <c r="I10">
        <v>88204</v>
      </c>
      <c r="J10" t="s">
        <v>288</v>
      </c>
      <c r="K10" t="s">
        <v>263</v>
      </c>
      <c r="L10" t="s">
        <v>258</v>
      </c>
      <c r="M10" t="s">
        <v>259</v>
      </c>
    </row>
    <row r="11" spans="1:13" x14ac:dyDescent="0.45">
      <c r="A11">
        <v>10793</v>
      </c>
      <c r="B11" t="s">
        <v>289</v>
      </c>
      <c r="C11" t="s">
        <v>290</v>
      </c>
      <c r="D11" t="str">
        <f>Customers[[#This Row],[First name]]&amp;" "&amp;Customers[[#This Row],[Last name]]</f>
        <v>Alain  Margand</v>
      </c>
      <c r="E11" t="s">
        <v>291</v>
      </c>
      <c r="F11" t="s">
        <v>63</v>
      </c>
      <c r="G11" t="s">
        <v>247</v>
      </c>
      <c r="H11" t="s">
        <v>248</v>
      </c>
      <c r="I11">
        <v>98107</v>
      </c>
      <c r="J11" t="s">
        <v>292</v>
      </c>
      <c r="K11" t="s">
        <v>250</v>
      </c>
      <c r="L11" t="s">
        <v>275</v>
      </c>
      <c r="M11" t="s">
        <v>259</v>
      </c>
    </row>
    <row r="12" spans="1:13" x14ac:dyDescent="0.45">
      <c r="A12">
        <v>10828</v>
      </c>
      <c r="B12" t="s">
        <v>293</v>
      </c>
      <c r="C12" t="s">
        <v>294</v>
      </c>
      <c r="D12" t="str">
        <f>Customers[[#This Row],[First name]]&amp;" "&amp;Customers[[#This Row],[Last name]]</f>
        <v>Javier Sun</v>
      </c>
      <c r="E12" t="s">
        <v>255</v>
      </c>
      <c r="F12" t="s">
        <v>49</v>
      </c>
      <c r="G12" t="s">
        <v>247</v>
      </c>
      <c r="H12" t="s">
        <v>248</v>
      </c>
      <c r="I12">
        <v>67435</v>
      </c>
      <c r="J12" t="s">
        <v>295</v>
      </c>
      <c r="K12" t="s">
        <v>250</v>
      </c>
      <c r="L12" t="s">
        <v>275</v>
      </c>
      <c r="M12" t="s">
        <v>259</v>
      </c>
    </row>
    <row r="13" spans="1:13" x14ac:dyDescent="0.45">
      <c r="A13">
        <v>11047</v>
      </c>
      <c r="B13" t="s">
        <v>296</v>
      </c>
      <c r="C13" t="s">
        <v>297</v>
      </c>
      <c r="D13" t="str">
        <f>Customers[[#This Row],[First name]]&amp;" "&amp;Customers[[#This Row],[Last name]]</f>
        <v>Utbah Sherzai</v>
      </c>
      <c r="E13" t="s">
        <v>298</v>
      </c>
      <c r="F13" t="s">
        <v>63</v>
      </c>
      <c r="G13" t="s">
        <v>247</v>
      </c>
      <c r="H13" t="s">
        <v>248</v>
      </c>
      <c r="I13">
        <v>88204</v>
      </c>
      <c r="J13" t="s">
        <v>299</v>
      </c>
      <c r="K13" t="s">
        <v>263</v>
      </c>
      <c r="L13" t="s">
        <v>251</v>
      </c>
      <c r="M13" t="s">
        <v>259</v>
      </c>
    </row>
    <row r="14" spans="1:13" x14ac:dyDescent="0.45">
      <c r="A14">
        <v>11124</v>
      </c>
      <c r="B14" t="s">
        <v>300</v>
      </c>
      <c r="C14" t="s">
        <v>301</v>
      </c>
      <c r="D14" t="str">
        <f>Customers[[#This Row],[First name]]&amp;" "&amp;Customers[[#This Row],[Last name]]</f>
        <v>Kaela Samaha</v>
      </c>
      <c r="E14" t="s">
        <v>286</v>
      </c>
      <c r="F14" t="s">
        <v>43</v>
      </c>
      <c r="G14" t="s">
        <v>247</v>
      </c>
      <c r="H14" t="s">
        <v>248</v>
      </c>
      <c r="I14">
        <v>56984</v>
      </c>
      <c r="J14" t="s">
        <v>302</v>
      </c>
      <c r="K14" t="s">
        <v>250</v>
      </c>
      <c r="L14" t="s">
        <v>258</v>
      </c>
      <c r="M14" t="s">
        <v>259</v>
      </c>
    </row>
    <row r="15" spans="1:13" x14ac:dyDescent="0.45">
      <c r="A15">
        <v>11347</v>
      </c>
      <c r="B15" t="s">
        <v>303</v>
      </c>
      <c r="C15" t="s">
        <v>304</v>
      </c>
      <c r="D15" t="str">
        <f>Customers[[#This Row],[First name]]&amp;" "&amp;Customers[[#This Row],[Last name]]</f>
        <v>Shen Xiong</v>
      </c>
      <c r="E15" t="s">
        <v>305</v>
      </c>
      <c r="F15" t="s">
        <v>84</v>
      </c>
      <c r="G15" t="s">
        <v>247</v>
      </c>
      <c r="H15" t="s">
        <v>248</v>
      </c>
      <c r="I15">
        <v>34512</v>
      </c>
      <c r="J15" t="s">
        <v>306</v>
      </c>
      <c r="K15" t="s">
        <v>250</v>
      </c>
      <c r="L15" t="s">
        <v>258</v>
      </c>
      <c r="M15" t="s">
        <v>259</v>
      </c>
    </row>
    <row r="16" spans="1:13" x14ac:dyDescent="0.45">
      <c r="A16">
        <v>11959</v>
      </c>
      <c r="B16" t="s">
        <v>307</v>
      </c>
      <c r="C16" t="s">
        <v>308</v>
      </c>
      <c r="D16" t="str">
        <f>Customers[[#This Row],[First name]]&amp;" "&amp;Customers[[#This Row],[Last name]]</f>
        <v>Hamed Sarraf</v>
      </c>
      <c r="E16" t="s">
        <v>309</v>
      </c>
      <c r="F16" t="s">
        <v>98</v>
      </c>
      <c r="G16" t="s">
        <v>247</v>
      </c>
      <c r="H16" t="s">
        <v>248</v>
      </c>
      <c r="I16">
        <v>88204</v>
      </c>
      <c r="J16" t="s">
        <v>310</v>
      </c>
      <c r="K16" t="s">
        <v>250</v>
      </c>
      <c r="L16" t="s">
        <v>251</v>
      </c>
      <c r="M16" t="s">
        <v>259</v>
      </c>
    </row>
    <row r="17" spans="1:13" x14ac:dyDescent="0.45">
      <c r="A17">
        <v>12032</v>
      </c>
      <c r="B17" t="s">
        <v>311</v>
      </c>
      <c r="C17" t="s">
        <v>312</v>
      </c>
      <c r="D17" t="str">
        <f>Customers[[#This Row],[First name]]&amp;" "&amp;Customers[[#This Row],[Last name]]</f>
        <v>Norma Herman</v>
      </c>
      <c r="E17" t="s">
        <v>298</v>
      </c>
      <c r="F17" t="s">
        <v>51</v>
      </c>
      <c r="G17" t="s">
        <v>247</v>
      </c>
      <c r="H17" t="s">
        <v>248</v>
      </c>
      <c r="I17">
        <v>98107</v>
      </c>
      <c r="J17" t="s">
        <v>313</v>
      </c>
      <c r="K17" t="s">
        <v>263</v>
      </c>
      <c r="L17" t="s">
        <v>258</v>
      </c>
      <c r="M17" t="s">
        <v>314</v>
      </c>
    </row>
    <row r="18" spans="1:13" x14ac:dyDescent="0.45">
      <c r="A18">
        <v>12265</v>
      </c>
      <c r="B18" t="s">
        <v>315</v>
      </c>
      <c r="C18" t="s">
        <v>316</v>
      </c>
      <c r="D18" t="str">
        <f>Customers[[#This Row],[First name]]&amp;" "&amp;Customers[[#This Row],[Last name]]</f>
        <v>Jonathan Voigt</v>
      </c>
      <c r="E18" t="s">
        <v>305</v>
      </c>
      <c r="F18" t="s">
        <v>35</v>
      </c>
      <c r="G18" t="s">
        <v>247</v>
      </c>
      <c r="H18" t="s">
        <v>248</v>
      </c>
      <c r="I18">
        <v>10001</v>
      </c>
      <c r="J18" t="s">
        <v>317</v>
      </c>
      <c r="K18" t="s">
        <v>263</v>
      </c>
      <c r="L18" t="s">
        <v>275</v>
      </c>
      <c r="M18" t="s">
        <v>259</v>
      </c>
    </row>
    <row r="19" spans="1:13" x14ac:dyDescent="0.45">
      <c r="A19">
        <v>12504</v>
      </c>
      <c r="B19" t="s">
        <v>318</v>
      </c>
      <c r="C19" t="s">
        <v>319</v>
      </c>
      <c r="D19" t="str">
        <f>Customers[[#This Row],[First name]]&amp;" "&amp;Customers[[#This Row],[Last name]]</f>
        <v>Elisabeth Plante</v>
      </c>
      <c r="E19" t="s">
        <v>320</v>
      </c>
      <c r="F19" t="s">
        <v>56</v>
      </c>
      <c r="G19" t="s">
        <v>287</v>
      </c>
      <c r="H19" t="s">
        <v>248</v>
      </c>
      <c r="I19">
        <v>11215</v>
      </c>
      <c r="J19" t="s">
        <v>262</v>
      </c>
      <c r="K19" t="s">
        <v>263</v>
      </c>
      <c r="L19" t="s">
        <v>275</v>
      </c>
      <c r="M19" t="s">
        <v>259</v>
      </c>
    </row>
    <row r="20" spans="1:13" x14ac:dyDescent="0.45">
      <c r="A20">
        <v>12793</v>
      </c>
      <c r="B20" t="s">
        <v>321</v>
      </c>
      <c r="C20" t="s">
        <v>322</v>
      </c>
      <c r="D20" t="str">
        <f>Customers[[#This Row],[First name]]&amp;" "&amp;Customers[[#This Row],[Last name]]</f>
        <v>Fadil Berry</v>
      </c>
      <c r="E20" t="s">
        <v>298</v>
      </c>
      <c r="F20" t="s">
        <v>63</v>
      </c>
      <c r="G20" t="s">
        <v>247</v>
      </c>
      <c r="H20" t="s">
        <v>248</v>
      </c>
      <c r="I20">
        <v>88204</v>
      </c>
      <c r="J20" t="s">
        <v>323</v>
      </c>
      <c r="K20" t="s">
        <v>263</v>
      </c>
      <c r="L20" t="s">
        <v>275</v>
      </c>
      <c r="M20" t="s">
        <v>259</v>
      </c>
    </row>
    <row r="21" spans="1:13" x14ac:dyDescent="0.45">
      <c r="A21">
        <v>12856</v>
      </c>
      <c r="B21" t="s">
        <v>324</v>
      </c>
      <c r="C21" t="s">
        <v>325</v>
      </c>
      <c r="D21" t="str">
        <f>Customers[[#This Row],[First name]]&amp;" "&amp;Customers[[#This Row],[Last name]]</f>
        <v>Yi Ze Ang</v>
      </c>
      <c r="E21" t="s">
        <v>326</v>
      </c>
      <c r="F21" t="s">
        <v>35</v>
      </c>
      <c r="G21" t="s">
        <v>247</v>
      </c>
      <c r="H21" t="s">
        <v>248</v>
      </c>
      <c r="I21">
        <v>97204</v>
      </c>
      <c r="J21" t="s">
        <v>310</v>
      </c>
      <c r="K21" t="s">
        <v>250</v>
      </c>
      <c r="L21" t="s">
        <v>275</v>
      </c>
      <c r="M21" t="s">
        <v>314</v>
      </c>
    </row>
    <row r="22" spans="1:13" x14ac:dyDescent="0.45">
      <c r="A22">
        <v>12882</v>
      </c>
      <c r="B22" t="s">
        <v>327</v>
      </c>
      <c r="C22" t="s">
        <v>328</v>
      </c>
      <c r="D22" t="str">
        <f>Customers[[#This Row],[First name]]&amp;" "&amp;Customers[[#This Row],[Last name]]</f>
        <v>Astrid Flamand</v>
      </c>
      <c r="E22" t="s">
        <v>286</v>
      </c>
      <c r="F22" t="s">
        <v>88</v>
      </c>
      <c r="G22" t="s">
        <v>247</v>
      </c>
      <c r="H22" t="s">
        <v>248</v>
      </c>
      <c r="I22">
        <v>88204</v>
      </c>
      <c r="J22" t="s">
        <v>329</v>
      </c>
      <c r="K22" t="s">
        <v>250</v>
      </c>
      <c r="L22" t="s">
        <v>258</v>
      </c>
      <c r="M22" t="s">
        <v>259</v>
      </c>
    </row>
    <row r="23" spans="1:13" x14ac:dyDescent="0.45">
      <c r="A23">
        <v>12883</v>
      </c>
      <c r="B23" t="s">
        <v>330</v>
      </c>
      <c r="C23" t="s">
        <v>331</v>
      </c>
      <c r="D23" t="str">
        <f>Customers[[#This Row],[First name]]&amp;" "&amp;Customers[[#This Row],[Last name]]</f>
        <v>Hamal Nader</v>
      </c>
      <c r="E23" t="s">
        <v>332</v>
      </c>
      <c r="F23" t="s">
        <v>56</v>
      </c>
      <c r="G23" t="s">
        <v>287</v>
      </c>
      <c r="H23" t="s">
        <v>248</v>
      </c>
      <c r="I23">
        <v>94568</v>
      </c>
      <c r="J23" t="s">
        <v>333</v>
      </c>
      <c r="K23" t="s">
        <v>250</v>
      </c>
      <c r="L23" t="s">
        <v>275</v>
      </c>
      <c r="M23" t="s">
        <v>259</v>
      </c>
    </row>
    <row r="24" spans="1:13" x14ac:dyDescent="0.45">
      <c r="A24">
        <v>12971</v>
      </c>
      <c r="B24" t="s">
        <v>334</v>
      </c>
      <c r="C24" t="s">
        <v>335</v>
      </c>
      <c r="D24" t="str">
        <f>Customers[[#This Row],[First name]]&amp;" "&amp;Customers[[#This Row],[Last name]]</f>
        <v>Gang Chu</v>
      </c>
      <c r="E24" t="s">
        <v>278</v>
      </c>
      <c r="F24" t="s">
        <v>92</v>
      </c>
      <c r="G24" t="s">
        <v>247</v>
      </c>
      <c r="H24" t="s">
        <v>248</v>
      </c>
      <c r="I24">
        <v>55778</v>
      </c>
      <c r="J24" t="s">
        <v>336</v>
      </c>
      <c r="K24" t="s">
        <v>263</v>
      </c>
      <c r="L24" t="s">
        <v>275</v>
      </c>
      <c r="M24" t="s">
        <v>337</v>
      </c>
    </row>
    <row r="25" spans="1:13" x14ac:dyDescent="0.45">
      <c r="A25">
        <v>13014</v>
      </c>
      <c r="B25" t="s">
        <v>338</v>
      </c>
      <c r="C25" t="s">
        <v>339</v>
      </c>
      <c r="D25" t="str">
        <f>Customers[[#This Row],[First name]]&amp;" "&amp;Customers[[#This Row],[Last name]]</f>
        <v>Alexandre Doyon</v>
      </c>
      <c r="E25" t="s">
        <v>340</v>
      </c>
      <c r="F25" t="s">
        <v>51</v>
      </c>
      <c r="G25" t="s">
        <v>247</v>
      </c>
      <c r="H25" t="s">
        <v>248</v>
      </c>
      <c r="I25">
        <v>94568</v>
      </c>
      <c r="J25" t="s">
        <v>341</v>
      </c>
      <c r="K25" t="s">
        <v>250</v>
      </c>
      <c r="L25" t="s">
        <v>258</v>
      </c>
      <c r="M25" t="s">
        <v>342</v>
      </c>
    </row>
    <row r="26" spans="1:13" x14ac:dyDescent="0.45">
      <c r="A26">
        <v>13122</v>
      </c>
      <c r="B26" t="s">
        <v>343</v>
      </c>
      <c r="C26" t="s">
        <v>344</v>
      </c>
      <c r="D26" t="str">
        <f>Customers[[#This Row],[First name]]&amp;" "&amp;Customers[[#This Row],[Last name]]</f>
        <v>Tabitha Shamoun</v>
      </c>
      <c r="E26" t="s">
        <v>320</v>
      </c>
      <c r="F26" t="s">
        <v>145</v>
      </c>
      <c r="G26" t="s">
        <v>247</v>
      </c>
      <c r="H26" t="s">
        <v>248</v>
      </c>
      <c r="I26">
        <v>11215</v>
      </c>
      <c r="J26" t="s">
        <v>292</v>
      </c>
      <c r="K26" t="s">
        <v>263</v>
      </c>
      <c r="L26" t="s">
        <v>258</v>
      </c>
      <c r="M26" t="s">
        <v>259</v>
      </c>
    </row>
    <row r="27" spans="1:13" x14ac:dyDescent="0.45">
      <c r="A27">
        <v>13321</v>
      </c>
      <c r="B27" t="s">
        <v>345</v>
      </c>
      <c r="C27" t="s">
        <v>346</v>
      </c>
      <c r="D27" t="str">
        <f>Customers[[#This Row],[First name]]&amp;" "&amp;Customers[[#This Row],[Last name]]</f>
        <v>Archie Lamb</v>
      </c>
      <c r="E27" t="s">
        <v>347</v>
      </c>
      <c r="F27" t="s">
        <v>35</v>
      </c>
      <c r="G27" t="s">
        <v>247</v>
      </c>
      <c r="H27" t="s">
        <v>248</v>
      </c>
      <c r="I27">
        <v>55778</v>
      </c>
      <c r="J27" t="s">
        <v>348</v>
      </c>
      <c r="K27" t="s">
        <v>263</v>
      </c>
      <c r="L27" t="s">
        <v>275</v>
      </c>
      <c r="M27" t="s">
        <v>259</v>
      </c>
    </row>
    <row r="28" spans="1:13" x14ac:dyDescent="0.45">
      <c r="A28">
        <v>13739</v>
      </c>
      <c r="B28" t="s">
        <v>349</v>
      </c>
      <c r="C28" t="s">
        <v>350</v>
      </c>
      <c r="D28" t="str">
        <f>Customers[[#This Row],[First name]]&amp;" "&amp;Customers[[#This Row],[Last name]]</f>
        <v>Hana'i Hotaki</v>
      </c>
      <c r="E28" t="s">
        <v>270</v>
      </c>
      <c r="F28" t="s">
        <v>46</v>
      </c>
      <c r="G28" t="s">
        <v>351</v>
      </c>
      <c r="H28" t="s">
        <v>248</v>
      </c>
      <c r="I28">
        <v>56984</v>
      </c>
      <c r="J28" t="s">
        <v>352</v>
      </c>
      <c r="K28" t="s">
        <v>263</v>
      </c>
      <c r="L28" t="s">
        <v>275</v>
      </c>
      <c r="M28" t="s">
        <v>259</v>
      </c>
    </row>
    <row r="29" spans="1:13" x14ac:dyDescent="0.45">
      <c r="A29">
        <v>14342</v>
      </c>
      <c r="B29" t="s">
        <v>353</v>
      </c>
      <c r="C29" t="s">
        <v>354</v>
      </c>
      <c r="D29" t="str">
        <f>Customers[[#This Row],[First name]]&amp;" "&amp;Customers[[#This Row],[Last name]]</f>
        <v>Hafsa Badakhshi</v>
      </c>
      <c r="E29" t="s">
        <v>347</v>
      </c>
      <c r="F29" t="s">
        <v>84</v>
      </c>
      <c r="G29" t="s">
        <v>247</v>
      </c>
      <c r="H29" t="s">
        <v>248</v>
      </c>
      <c r="I29">
        <v>98107</v>
      </c>
      <c r="J29" t="s">
        <v>355</v>
      </c>
      <c r="K29" t="s">
        <v>257</v>
      </c>
      <c r="L29" t="s">
        <v>251</v>
      </c>
      <c r="M29" t="s">
        <v>259</v>
      </c>
    </row>
    <row r="30" spans="1:13" x14ac:dyDescent="0.45">
      <c r="A30">
        <v>14501</v>
      </c>
      <c r="B30" t="s">
        <v>356</v>
      </c>
      <c r="C30" t="s">
        <v>357</v>
      </c>
      <c r="D30" t="str">
        <f>Customers[[#This Row],[First name]]&amp;" "&amp;Customers[[#This Row],[Last name]]</f>
        <v>Cheng He</v>
      </c>
      <c r="E30" t="s">
        <v>282</v>
      </c>
      <c r="F30" t="s">
        <v>145</v>
      </c>
      <c r="G30" t="s">
        <v>247</v>
      </c>
      <c r="H30" t="s">
        <v>248</v>
      </c>
      <c r="I30">
        <v>88204</v>
      </c>
      <c r="J30" t="s">
        <v>358</v>
      </c>
      <c r="K30" t="s">
        <v>250</v>
      </c>
      <c r="L30" t="s">
        <v>251</v>
      </c>
      <c r="M30" t="s">
        <v>259</v>
      </c>
    </row>
    <row r="31" spans="1:13" x14ac:dyDescent="0.45">
      <c r="A31">
        <v>15256</v>
      </c>
      <c r="B31" t="s">
        <v>359</v>
      </c>
      <c r="C31" t="s">
        <v>265</v>
      </c>
      <c r="D31" t="str">
        <f>Customers[[#This Row],[First name]]&amp;" "&amp;Customers[[#This Row],[Last name]]</f>
        <v>Lan Mai</v>
      </c>
      <c r="E31" t="s">
        <v>360</v>
      </c>
      <c r="F31" t="s">
        <v>51</v>
      </c>
      <c r="G31" t="s">
        <v>247</v>
      </c>
      <c r="H31" t="s">
        <v>248</v>
      </c>
      <c r="I31">
        <v>34512</v>
      </c>
      <c r="J31" t="s">
        <v>361</v>
      </c>
      <c r="K31" t="s">
        <v>250</v>
      </c>
      <c r="L31" t="s">
        <v>251</v>
      </c>
      <c r="M31" t="s">
        <v>259</v>
      </c>
    </row>
    <row r="32" spans="1:13" x14ac:dyDescent="0.45">
      <c r="A32">
        <v>15288</v>
      </c>
      <c r="B32" t="s">
        <v>362</v>
      </c>
      <c r="C32" t="s">
        <v>363</v>
      </c>
      <c r="D32" t="str">
        <f>Customers[[#This Row],[First name]]&amp;" "&amp;Customers[[#This Row],[Last name]]</f>
        <v>Leah Bailey</v>
      </c>
      <c r="E32" t="s">
        <v>364</v>
      </c>
      <c r="F32" t="s">
        <v>63</v>
      </c>
      <c r="G32" t="s">
        <v>247</v>
      </c>
      <c r="H32" t="s">
        <v>248</v>
      </c>
      <c r="I32">
        <v>23438</v>
      </c>
      <c r="J32" t="s">
        <v>355</v>
      </c>
      <c r="K32" t="s">
        <v>263</v>
      </c>
      <c r="L32" t="s">
        <v>275</v>
      </c>
      <c r="M32" t="s">
        <v>259</v>
      </c>
    </row>
    <row r="33" spans="1:13" x14ac:dyDescent="0.45">
      <c r="A33">
        <v>15353</v>
      </c>
      <c r="B33" t="s">
        <v>365</v>
      </c>
      <c r="C33" t="s">
        <v>366</v>
      </c>
      <c r="D33" t="str">
        <f>Customers[[#This Row],[First name]]&amp;" "&amp;Customers[[#This Row],[Last name]]</f>
        <v>Francisco Almaraz</v>
      </c>
      <c r="E33" t="s">
        <v>255</v>
      </c>
      <c r="F33" t="s">
        <v>38</v>
      </c>
      <c r="G33" t="s">
        <v>247</v>
      </c>
      <c r="H33" t="s">
        <v>248</v>
      </c>
      <c r="I33">
        <v>23438</v>
      </c>
      <c r="J33" t="s">
        <v>329</v>
      </c>
      <c r="K33" t="s">
        <v>263</v>
      </c>
      <c r="L33" t="s">
        <v>251</v>
      </c>
      <c r="M33" t="s">
        <v>259</v>
      </c>
    </row>
    <row r="34" spans="1:13" x14ac:dyDescent="0.45">
      <c r="A34">
        <v>15464</v>
      </c>
      <c r="B34" t="s">
        <v>367</v>
      </c>
      <c r="C34" t="s">
        <v>368</v>
      </c>
      <c r="D34" t="str">
        <f>Customers[[#This Row],[First name]]&amp;" "&amp;Customers[[#This Row],[Last name]]</f>
        <v>Eva Barajas</v>
      </c>
      <c r="E34" t="s">
        <v>364</v>
      </c>
      <c r="F34" t="s">
        <v>145</v>
      </c>
      <c r="G34" t="s">
        <v>247</v>
      </c>
      <c r="H34" t="s">
        <v>248</v>
      </c>
      <c r="I34">
        <v>94568</v>
      </c>
      <c r="J34" t="s">
        <v>369</v>
      </c>
      <c r="K34" t="s">
        <v>250</v>
      </c>
      <c r="L34" t="s">
        <v>258</v>
      </c>
      <c r="M34" t="s">
        <v>259</v>
      </c>
    </row>
    <row r="35" spans="1:13" x14ac:dyDescent="0.45">
      <c r="A35">
        <v>15561</v>
      </c>
      <c r="B35" t="s">
        <v>330</v>
      </c>
      <c r="C35" t="s">
        <v>370</v>
      </c>
      <c r="D35" t="str">
        <f>Customers[[#This Row],[First name]]&amp;" "&amp;Customers[[#This Row],[Last name]]</f>
        <v>Hamal Shammas</v>
      </c>
      <c r="E35" t="s">
        <v>320</v>
      </c>
      <c r="F35" t="s">
        <v>56</v>
      </c>
      <c r="G35" t="s">
        <v>287</v>
      </c>
      <c r="H35" t="s">
        <v>248</v>
      </c>
      <c r="I35">
        <v>55778</v>
      </c>
      <c r="J35" t="s">
        <v>371</v>
      </c>
      <c r="K35" t="s">
        <v>263</v>
      </c>
      <c r="L35" t="s">
        <v>258</v>
      </c>
      <c r="M35" t="s">
        <v>259</v>
      </c>
    </row>
    <row r="36" spans="1:13" x14ac:dyDescent="0.45">
      <c r="A36">
        <v>15616</v>
      </c>
      <c r="B36" t="s">
        <v>372</v>
      </c>
      <c r="C36" t="s">
        <v>264</v>
      </c>
      <c r="D36" t="str">
        <f>Customers[[#This Row],[First name]]&amp;" "&amp;Customers[[#This Row],[Last name]]</f>
        <v>Fang Yin Xia</v>
      </c>
      <c r="E36" t="s">
        <v>266</v>
      </c>
      <c r="F36" t="s">
        <v>63</v>
      </c>
      <c r="G36" t="s">
        <v>247</v>
      </c>
      <c r="H36" t="s">
        <v>248</v>
      </c>
      <c r="I36">
        <v>34512</v>
      </c>
      <c r="J36" t="s">
        <v>373</v>
      </c>
      <c r="K36" t="s">
        <v>250</v>
      </c>
      <c r="L36" t="s">
        <v>251</v>
      </c>
      <c r="M36" t="s">
        <v>259</v>
      </c>
    </row>
    <row r="37" spans="1:13" x14ac:dyDescent="0.45">
      <c r="A37">
        <v>15625</v>
      </c>
      <c r="B37" t="s">
        <v>374</v>
      </c>
      <c r="C37" t="s">
        <v>375</v>
      </c>
      <c r="D37" t="str">
        <f>Customers[[#This Row],[First name]]&amp;" "&amp;Customers[[#This Row],[Last name]]</f>
        <v>Daniel Feliciano</v>
      </c>
      <c r="E37" t="s">
        <v>340</v>
      </c>
      <c r="F37" t="s">
        <v>63</v>
      </c>
      <c r="G37" t="s">
        <v>247</v>
      </c>
      <c r="H37" t="s">
        <v>248</v>
      </c>
      <c r="I37">
        <v>10001</v>
      </c>
      <c r="J37" t="s">
        <v>292</v>
      </c>
      <c r="K37" t="s">
        <v>257</v>
      </c>
      <c r="L37" t="s">
        <v>275</v>
      </c>
      <c r="M37" t="s">
        <v>259</v>
      </c>
    </row>
    <row r="38" spans="1:13" x14ac:dyDescent="0.45">
      <c r="A38">
        <v>15868</v>
      </c>
      <c r="B38" t="s">
        <v>376</v>
      </c>
      <c r="C38" t="s">
        <v>377</v>
      </c>
      <c r="D38" t="str">
        <f>Customers[[#This Row],[First name]]&amp;" "&amp;Customers[[#This Row],[Last name]]</f>
        <v>Dominic Cloutier</v>
      </c>
      <c r="E38" t="s">
        <v>347</v>
      </c>
      <c r="F38" t="s">
        <v>88</v>
      </c>
      <c r="G38" t="s">
        <v>247</v>
      </c>
      <c r="H38" t="s">
        <v>248</v>
      </c>
      <c r="I38">
        <v>55778</v>
      </c>
      <c r="J38" t="s">
        <v>271</v>
      </c>
      <c r="K38" t="s">
        <v>257</v>
      </c>
      <c r="L38" t="s">
        <v>251</v>
      </c>
      <c r="M38" t="s">
        <v>259</v>
      </c>
    </row>
    <row r="39" spans="1:13" x14ac:dyDescent="0.45">
      <c r="A39">
        <v>16088</v>
      </c>
      <c r="B39" t="s">
        <v>378</v>
      </c>
      <c r="C39" t="s">
        <v>379</v>
      </c>
      <c r="D39" t="str">
        <f>Customers[[#This Row],[First name]]&amp;" "&amp;Customers[[#This Row],[Last name]]</f>
        <v>Hector Montoya</v>
      </c>
      <c r="E39" t="s">
        <v>364</v>
      </c>
      <c r="F39" t="s">
        <v>51</v>
      </c>
      <c r="G39" t="s">
        <v>247</v>
      </c>
      <c r="H39" t="s">
        <v>248</v>
      </c>
      <c r="I39">
        <v>67839</v>
      </c>
      <c r="J39" t="s">
        <v>380</v>
      </c>
      <c r="K39" t="s">
        <v>250</v>
      </c>
      <c r="L39" t="s">
        <v>258</v>
      </c>
      <c r="M39" t="s">
        <v>337</v>
      </c>
    </row>
    <row r="40" spans="1:13" x14ac:dyDescent="0.45">
      <c r="A40">
        <v>16272</v>
      </c>
      <c r="B40" t="s">
        <v>381</v>
      </c>
      <c r="C40" t="s">
        <v>382</v>
      </c>
      <c r="D40" t="str">
        <f>Customers[[#This Row],[First name]]&amp;" "&amp;Customers[[#This Row],[Last name]]</f>
        <v>Fen Long</v>
      </c>
      <c r="E40" t="s">
        <v>246</v>
      </c>
      <c r="F40" t="s">
        <v>41</v>
      </c>
      <c r="G40" t="s">
        <v>247</v>
      </c>
      <c r="H40" t="s">
        <v>248</v>
      </c>
      <c r="I40">
        <v>23402</v>
      </c>
      <c r="J40" t="s">
        <v>383</v>
      </c>
      <c r="K40" t="s">
        <v>250</v>
      </c>
      <c r="L40" t="s">
        <v>251</v>
      </c>
      <c r="M40" t="s">
        <v>384</v>
      </c>
    </row>
    <row r="41" spans="1:13" x14ac:dyDescent="0.45">
      <c r="A41">
        <v>16595</v>
      </c>
      <c r="B41" t="s">
        <v>385</v>
      </c>
      <c r="C41" t="s">
        <v>386</v>
      </c>
      <c r="D41" t="str">
        <f>Customers[[#This Row],[First name]]&amp;" "&amp;Customers[[#This Row],[Last name]]</f>
        <v>Humayd Natsheh</v>
      </c>
      <c r="E41" t="s">
        <v>291</v>
      </c>
      <c r="F41" t="s">
        <v>51</v>
      </c>
      <c r="G41" t="s">
        <v>247</v>
      </c>
      <c r="H41" t="s">
        <v>248</v>
      </c>
      <c r="I41">
        <v>34512</v>
      </c>
      <c r="J41" t="s">
        <v>387</v>
      </c>
      <c r="K41" t="s">
        <v>263</v>
      </c>
      <c r="L41" t="s">
        <v>258</v>
      </c>
      <c r="M41" t="s">
        <v>259</v>
      </c>
    </row>
    <row r="42" spans="1:13" x14ac:dyDescent="0.45">
      <c r="A42">
        <v>16736</v>
      </c>
      <c r="B42" t="s">
        <v>388</v>
      </c>
      <c r="C42" t="s">
        <v>389</v>
      </c>
      <c r="D42" t="str">
        <f>Customers[[#This Row],[First name]]&amp;" "&amp;Customers[[#This Row],[Last name]]</f>
        <v>Wen Xie</v>
      </c>
      <c r="E42" t="s">
        <v>390</v>
      </c>
      <c r="F42" t="s">
        <v>41</v>
      </c>
      <c r="G42" t="s">
        <v>247</v>
      </c>
      <c r="H42" t="s">
        <v>248</v>
      </c>
      <c r="I42">
        <v>67839</v>
      </c>
      <c r="J42" t="s">
        <v>391</v>
      </c>
      <c r="K42" t="s">
        <v>263</v>
      </c>
      <c r="L42" t="s">
        <v>258</v>
      </c>
      <c r="M42" t="s">
        <v>314</v>
      </c>
    </row>
    <row r="43" spans="1:13" x14ac:dyDescent="0.45">
      <c r="A43">
        <v>16741</v>
      </c>
      <c r="B43" t="s">
        <v>392</v>
      </c>
      <c r="C43" t="s">
        <v>393</v>
      </c>
      <c r="D43" t="str">
        <f>Customers[[#This Row],[First name]]&amp;" "&amp;Customers[[#This Row],[Last name]]</f>
        <v>Kristophe  Barjavel</v>
      </c>
      <c r="E43" t="s">
        <v>309</v>
      </c>
      <c r="F43" t="s">
        <v>46</v>
      </c>
      <c r="G43" t="s">
        <v>351</v>
      </c>
      <c r="H43" t="s">
        <v>248</v>
      </c>
      <c r="I43">
        <v>23438</v>
      </c>
      <c r="J43" t="s">
        <v>394</v>
      </c>
      <c r="K43" t="s">
        <v>250</v>
      </c>
      <c r="L43" t="s">
        <v>275</v>
      </c>
      <c r="M43" t="s">
        <v>259</v>
      </c>
    </row>
    <row r="44" spans="1:13" x14ac:dyDescent="0.45">
      <c r="A44">
        <v>16953</v>
      </c>
      <c r="B44" t="s">
        <v>395</v>
      </c>
      <c r="C44" t="s">
        <v>396</v>
      </c>
      <c r="D44" t="str">
        <f>Customers[[#This Row],[First name]]&amp;" "&amp;Customers[[#This Row],[Last name]]</f>
        <v>Lily Parker</v>
      </c>
      <c r="E44" t="s">
        <v>340</v>
      </c>
      <c r="F44" t="s">
        <v>41</v>
      </c>
      <c r="G44" t="s">
        <v>247</v>
      </c>
      <c r="H44" t="s">
        <v>248</v>
      </c>
      <c r="I44">
        <v>98107</v>
      </c>
      <c r="J44" t="s">
        <v>299</v>
      </c>
      <c r="K44" t="s">
        <v>250</v>
      </c>
      <c r="L44" t="s">
        <v>258</v>
      </c>
      <c r="M44" t="s">
        <v>259</v>
      </c>
    </row>
    <row r="45" spans="1:13" x14ac:dyDescent="0.45">
      <c r="A45">
        <v>16974</v>
      </c>
      <c r="B45" t="s">
        <v>397</v>
      </c>
      <c r="C45" t="s">
        <v>398</v>
      </c>
      <c r="D45" t="str">
        <f>Customers[[#This Row],[First name]]&amp;" "&amp;Customers[[#This Row],[Last name]]</f>
        <v>De Liao</v>
      </c>
      <c r="E45" t="s">
        <v>278</v>
      </c>
      <c r="F45" t="s">
        <v>49</v>
      </c>
      <c r="G45" t="s">
        <v>247</v>
      </c>
      <c r="H45" t="s">
        <v>248</v>
      </c>
      <c r="I45">
        <v>67435</v>
      </c>
      <c r="J45" t="s">
        <v>292</v>
      </c>
      <c r="K45" t="s">
        <v>257</v>
      </c>
      <c r="L45" t="s">
        <v>275</v>
      </c>
      <c r="M45" t="s">
        <v>259</v>
      </c>
    </row>
    <row r="46" spans="1:13" x14ac:dyDescent="0.45">
      <c r="A46">
        <v>17038</v>
      </c>
      <c r="B46" t="s">
        <v>399</v>
      </c>
      <c r="C46" t="s">
        <v>400</v>
      </c>
      <c r="D46" t="str">
        <f>Customers[[#This Row],[First name]]&amp;" "&amp;Customers[[#This Row],[Last name]]</f>
        <v>Marcel Quessy</v>
      </c>
      <c r="E46" t="s">
        <v>305</v>
      </c>
      <c r="F46" t="s">
        <v>88</v>
      </c>
      <c r="G46" t="s">
        <v>247</v>
      </c>
      <c r="H46" t="s">
        <v>248</v>
      </c>
      <c r="I46">
        <v>67435</v>
      </c>
      <c r="J46" t="s">
        <v>358</v>
      </c>
      <c r="K46" t="s">
        <v>263</v>
      </c>
      <c r="L46" t="s">
        <v>258</v>
      </c>
      <c r="M46" t="s">
        <v>259</v>
      </c>
    </row>
    <row r="47" spans="1:13" x14ac:dyDescent="0.45">
      <c r="A47">
        <v>17067</v>
      </c>
      <c r="B47" t="s">
        <v>374</v>
      </c>
      <c r="C47" t="s">
        <v>401</v>
      </c>
      <c r="D47" t="str">
        <f>Customers[[#This Row],[First name]]&amp;" "&amp;Customers[[#This Row],[Last name]]</f>
        <v>Daniel Tijerina</v>
      </c>
      <c r="E47" t="s">
        <v>246</v>
      </c>
      <c r="F47" t="s">
        <v>54</v>
      </c>
      <c r="G47" t="s">
        <v>287</v>
      </c>
      <c r="H47" t="s">
        <v>248</v>
      </c>
      <c r="I47">
        <v>94568</v>
      </c>
      <c r="J47" t="s">
        <v>402</v>
      </c>
      <c r="K47" t="s">
        <v>263</v>
      </c>
      <c r="L47" t="s">
        <v>275</v>
      </c>
      <c r="M47" t="s">
        <v>259</v>
      </c>
    </row>
    <row r="48" spans="1:13" x14ac:dyDescent="0.45">
      <c r="A48">
        <v>17252</v>
      </c>
      <c r="B48" t="s">
        <v>403</v>
      </c>
      <c r="C48" t="s">
        <v>404</v>
      </c>
      <c r="D48" t="str">
        <f>Customers[[#This Row],[First name]]&amp;" "&amp;Customers[[#This Row],[Last name]]</f>
        <v>Fai Qian</v>
      </c>
      <c r="E48" t="s">
        <v>291</v>
      </c>
      <c r="F48" t="s">
        <v>78</v>
      </c>
      <c r="G48" t="s">
        <v>247</v>
      </c>
      <c r="H48" t="s">
        <v>248</v>
      </c>
      <c r="I48">
        <v>67435</v>
      </c>
      <c r="J48" t="s">
        <v>405</v>
      </c>
      <c r="K48" t="s">
        <v>257</v>
      </c>
      <c r="L48" t="s">
        <v>275</v>
      </c>
      <c r="M48" t="s">
        <v>259</v>
      </c>
    </row>
    <row r="49" spans="1:13" x14ac:dyDescent="0.45">
      <c r="A49">
        <v>17338</v>
      </c>
      <c r="B49" t="s">
        <v>406</v>
      </c>
      <c r="C49" t="s">
        <v>325</v>
      </c>
      <c r="D49" t="str">
        <f>Customers[[#This Row],[First name]]&amp;" "&amp;Customers[[#This Row],[Last name]]</f>
        <v>Yi Min Ang</v>
      </c>
      <c r="E49" t="s">
        <v>407</v>
      </c>
      <c r="F49" t="s">
        <v>41</v>
      </c>
      <c r="G49" t="s">
        <v>247</v>
      </c>
      <c r="H49" t="s">
        <v>248</v>
      </c>
      <c r="I49">
        <v>11215</v>
      </c>
      <c r="J49" t="s">
        <v>408</v>
      </c>
      <c r="K49" t="s">
        <v>250</v>
      </c>
      <c r="L49" t="s">
        <v>258</v>
      </c>
      <c r="M49" t="s">
        <v>259</v>
      </c>
    </row>
    <row r="50" spans="1:13" x14ac:dyDescent="0.45">
      <c r="A50">
        <v>17376</v>
      </c>
      <c r="B50" t="s">
        <v>409</v>
      </c>
      <c r="C50" t="s">
        <v>410</v>
      </c>
      <c r="D50" t="str">
        <f>Customers[[#This Row],[First name]]&amp;" "&amp;Customers[[#This Row],[Last name]]</f>
        <v>Annette Deniger</v>
      </c>
      <c r="E50" t="s">
        <v>411</v>
      </c>
      <c r="F50" t="s">
        <v>41</v>
      </c>
      <c r="G50" t="s">
        <v>247</v>
      </c>
      <c r="H50" t="s">
        <v>248</v>
      </c>
      <c r="I50">
        <v>10001</v>
      </c>
      <c r="J50" t="s">
        <v>412</v>
      </c>
      <c r="K50" t="s">
        <v>257</v>
      </c>
      <c r="L50" t="s">
        <v>258</v>
      </c>
      <c r="M50" t="s">
        <v>413</v>
      </c>
    </row>
    <row r="51" spans="1:13" x14ac:dyDescent="0.45">
      <c r="A51">
        <v>17441</v>
      </c>
      <c r="B51" t="s">
        <v>414</v>
      </c>
      <c r="C51" t="s">
        <v>415</v>
      </c>
      <c r="D51" t="str">
        <f>Customers[[#This Row],[First name]]&amp;" "&amp;Customers[[#This Row],[Last name]]</f>
        <v>Claude Batard</v>
      </c>
      <c r="E51" t="s">
        <v>291</v>
      </c>
      <c r="F51" t="s">
        <v>51</v>
      </c>
      <c r="G51" t="s">
        <v>247</v>
      </c>
      <c r="H51" t="s">
        <v>248</v>
      </c>
      <c r="I51">
        <v>11215</v>
      </c>
      <c r="J51" t="s">
        <v>416</v>
      </c>
      <c r="K51" t="s">
        <v>250</v>
      </c>
      <c r="L51" t="s">
        <v>258</v>
      </c>
      <c r="M51" t="s">
        <v>259</v>
      </c>
    </row>
    <row r="52" spans="1:13" x14ac:dyDescent="0.45">
      <c r="A52">
        <v>17610</v>
      </c>
      <c r="B52" t="s">
        <v>417</v>
      </c>
      <c r="C52" t="s">
        <v>418</v>
      </c>
      <c r="D52" t="str">
        <f>Customers[[#This Row],[First name]]&amp;" "&amp;Customers[[#This Row],[Last name]]</f>
        <v>Andre Rivard</v>
      </c>
      <c r="E52" t="s">
        <v>326</v>
      </c>
      <c r="F52" t="s">
        <v>41</v>
      </c>
      <c r="G52" t="s">
        <v>247</v>
      </c>
      <c r="H52" t="s">
        <v>248</v>
      </c>
      <c r="I52">
        <v>67435</v>
      </c>
      <c r="J52" t="s">
        <v>419</v>
      </c>
      <c r="K52" t="s">
        <v>263</v>
      </c>
      <c r="L52" t="s">
        <v>258</v>
      </c>
      <c r="M52" t="s">
        <v>259</v>
      </c>
    </row>
    <row r="53" spans="1:13" x14ac:dyDescent="0.45">
      <c r="A53">
        <v>17640</v>
      </c>
      <c r="B53" t="s">
        <v>420</v>
      </c>
      <c r="C53" t="s">
        <v>421</v>
      </c>
      <c r="D53" t="str">
        <f>Customers[[#This Row],[First name]]&amp;" "&amp;Customers[[#This Row],[Last name]]</f>
        <v>Calvin Olds</v>
      </c>
      <c r="E53" t="s">
        <v>332</v>
      </c>
      <c r="F53" t="s">
        <v>66</v>
      </c>
      <c r="G53" t="s">
        <v>247</v>
      </c>
      <c r="H53" t="s">
        <v>248</v>
      </c>
      <c r="I53">
        <v>67435</v>
      </c>
      <c r="J53" t="s">
        <v>422</v>
      </c>
      <c r="K53" t="s">
        <v>263</v>
      </c>
      <c r="L53" t="s">
        <v>275</v>
      </c>
      <c r="M53" t="s">
        <v>259</v>
      </c>
    </row>
    <row r="54" spans="1:13" x14ac:dyDescent="0.45">
      <c r="A54">
        <v>17696</v>
      </c>
      <c r="B54" t="s">
        <v>423</v>
      </c>
      <c r="C54" t="s">
        <v>424</v>
      </c>
      <c r="D54" t="str">
        <f>Customers[[#This Row],[First name]]&amp;" "&amp;Customers[[#This Row],[Last name]]</f>
        <v>Gabriel Hurtado</v>
      </c>
      <c r="E54" t="s">
        <v>326</v>
      </c>
      <c r="F54" t="s">
        <v>49</v>
      </c>
      <c r="G54" t="s">
        <v>247</v>
      </c>
      <c r="H54" t="s">
        <v>248</v>
      </c>
      <c r="I54">
        <v>23402</v>
      </c>
      <c r="J54" t="s">
        <v>295</v>
      </c>
      <c r="K54" t="s">
        <v>250</v>
      </c>
      <c r="L54" t="s">
        <v>258</v>
      </c>
      <c r="M54" t="s">
        <v>259</v>
      </c>
    </row>
    <row r="55" spans="1:13" x14ac:dyDescent="0.45">
      <c r="A55">
        <v>17717</v>
      </c>
      <c r="B55" t="s">
        <v>425</v>
      </c>
      <c r="C55" t="s">
        <v>426</v>
      </c>
      <c r="D55" t="str">
        <f>Customers[[#This Row],[First name]]&amp;" "&amp;Customers[[#This Row],[Last name]]</f>
        <v>Kong Chen</v>
      </c>
      <c r="E55" t="s">
        <v>332</v>
      </c>
      <c r="F55" t="s">
        <v>56</v>
      </c>
      <c r="G55" t="s">
        <v>287</v>
      </c>
      <c r="H55" t="s">
        <v>248</v>
      </c>
      <c r="I55">
        <v>67839</v>
      </c>
      <c r="J55" t="s">
        <v>427</v>
      </c>
      <c r="K55" t="s">
        <v>257</v>
      </c>
      <c r="L55" t="s">
        <v>258</v>
      </c>
      <c r="M55" t="s">
        <v>259</v>
      </c>
    </row>
    <row r="56" spans="1:13" x14ac:dyDescent="0.45">
      <c r="A56">
        <v>17972</v>
      </c>
      <c r="B56" t="s">
        <v>428</v>
      </c>
      <c r="C56" t="s">
        <v>429</v>
      </c>
      <c r="D56" t="str">
        <f>Customers[[#This Row],[First name]]&amp;" "&amp;Customers[[#This Row],[Last name]]</f>
        <v>Simon Skeen</v>
      </c>
      <c r="E56" t="s">
        <v>347</v>
      </c>
      <c r="F56" t="s">
        <v>56</v>
      </c>
      <c r="G56" t="s">
        <v>287</v>
      </c>
      <c r="H56" t="s">
        <v>248</v>
      </c>
      <c r="I56">
        <v>55778</v>
      </c>
      <c r="J56" t="s">
        <v>430</v>
      </c>
      <c r="K56" t="s">
        <v>250</v>
      </c>
      <c r="L56" t="s">
        <v>275</v>
      </c>
      <c r="M56" t="s">
        <v>259</v>
      </c>
    </row>
    <row r="57" spans="1:13" x14ac:dyDescent="0.45">
      <c r="A57">
        <v>18195</v>
      </c>
      <c r="B57" t="s">
        <v>431</v>
      </c>
      <c r="C57" t="s">
        <v>432</v>
      </c>
      <c r="D57" t="str">
        <f>Customers[[#This Row],[First name]]&amp;" "&amp;Customers[[#This Row],[Last name]]</f>
        <v>Lei Luo</v>
      </c>
      <c r="E57" t="s">
        <v>282</v>
      </c>
      <c r="F57" t="s">
        <v>51</v>
      </c>
      <c r="G57" t="s">
        <v>247</v>
      </c>
      <c r="H57" t="s">
        <v>248</v>
      </c>
      <c r="I57">
        <v>23402</v>
      </c>
      <c r="J57" t="s">
        <v>249</v>
      </c>
      <c r="K57" t="s">
        <v>263</v>
      </c>
      <c r="L57" t="s">
        <v>275</v>
      </c>
      <c r="M57" t="s">
        <v>259</v>
      </c>
    </row>
    <row r="58" spans="1:13" x14ac:dyDescent="0.45">
      <c r="A58">
        <v>18265</v>
      </c>
      <c r="B58" t="s">
        <v>433</v>
      </c>
      <c r="C58" t="s">
        <v>434</v>
      </c>
      <c r="D58" t="str">
        <f>Customers[[#This Row],[First name]]&amp;" "&amp;Customers[[#This Row],[Last name]]</f>
        <v>Akia Kassis</v>
      </c>
      <c r="E58" t="s">
        <v>435</v>
      </c>
      <c r="F58" t="s">
        <v>51</v>
      </c>
      <c r="G58" t="s">
        <v>247</v>
      </c>
      <c r="H58" t="s">
        <v>248</v>
      </c>
      <c r="I58">
        <v>11215</v>
      </c>
      <c r="J58" t="s">
        <v>348</v>
      </c>
      <c r="K58" t="s">
        <v>263</v>
      </c>
      <c r="L58" t="s">
        <v>251</v>
      </c>
      <c r="M58" t="s">
        <v>413</v>
      </c>
    </row>
    <row r="59" spans="1:13" x14ac:dyDescent="0.45">
      <c r="A59">
        <v>18345</v>
      </c>
      <c r="B59" t="s">
        <v>436</v>
      </c>
      <c r="C59" t="s">
        <v>437</v>
      </c>
      <c r="D59" t="str">
        <f>Customers[[#This Row],[First name]]&amp;" "&amp;Customers[[#This Row],[Last name]]</f>
        <v>Manuel Jerome</v>
      </c>
      <c r="E59" t="s">
        <v>282</v>
      </c>
      <c r="F59" t="s">
        <v>35</v>
      </c>
      <c r="G59" t="s">
        <v>247</v>
      </c>
      <c r="H59" t="s">
        <v>248</v>
      </c>
      <c r="I59">
        <v>56984</v>
      </c>
      <c r="J59" t="s">
        <v>438</v>
      </c>
      <c r="K59" t="s">
        <v>257</v>
      </c>
      <c r="L59" t="s">
        <v>275</v>
      </c>
      <c r="M59" t="s">
        <v>259</v>
      </c>
    </row>
    <row r="60" spans="1:13" x14ac:dyDescent="0.45">
      <c r="A60">
        <v>18436</v>
      </c>
      <c r="B60" t="s">
        <v>439</v>
      </c>
      <c r="C60" t="s">
        <v>440</v>
      </c>
      <c r="D60" t="str">
        <f>Customers[[#This Row],[First name]]&amp;" "&amp;Customers[[#This Row],[Last name]]</f>
        <v>Lourdes Melgar</v>
      </c>
      <c r="E60" t="s">
        <v>246</v>
      </c>
      <c r="F60" t="s">
        <v>38</v>
      </c>
      <c r="G60" t="s">
        <v>247</v>
      </c>
      <c r="H60" t="s">
        <v>248</v>
      </c>
      <c r="I60">
        <v>97202</v>
      </c>
      <c r="J60" t="s">
        <v>441</v>
      </c>
      <c r="K60" t="s">
        <v>257</v>
      </c>
      <c r="L60" t="s">
        <v>251</v>
      </c>
      <c r="M60" t="s">
        <v>252</v>
      </c>
    </row>
    <row r="61" spans="1:13" x14ac:dyDescent="0.45">
      <c r="A61">
        <v>18495</v>
      </c>
      <c r="B61" t="s">
        <v>442</v>
      </c>
      <c r="C61" t="s">
        <v>443</v>
      </c>
      <c r="D61" t="str">
        <f>Customers[[#This Row],[First name]]&amp;" "&amp;Customers[[#This Row],[Last name]]</f>
        <v>Francis Stackhouse</v>
      </c>
      <c r="E61" t="s">
        <v>407</v>
      </c>
      <c r="F61" t="s">
        <v>41</v>
      </c>
      <c r="G61" t="s">
        <v>247</v>
      </c>
      <c r="H61" t="s">
        <v>248</v>
      </c>
      <c r="I61">
        <v>34512</v>
      </c>
      <c r="J61" t="s">
        <v>256</v>
      </c>
      <c r="K61" t="s">
        <v>257</v>
      </c>
      <c r="L61" t="s">
        <v>258</v>
      </c>
      <c r="M61" t="s">
        <v>259</v>
      </c>
    </row>
    <row r="62" spans="1:13" x14ac:dyDescent="0.45">
      <c r="A62">
        <v>18542</v>
      </c>
      <c r="B62" t="s">
        <v>444</v>
      </c>
      <c r="C62" t="s">
        <v>445</v>
      </c>
      <c r="D62" t="str">
        <f>Customers[[#This Row],[First name]]&amp;" "&amp;Customers[[#This Row],[Last name]]</f>
        <v>Alberto Dominguez</v>
      </c>
      <c r="E62" t="s">
        <v>266</v>
      </c>
      <c r="F62" t="s">
        <v>78</v>
      </c>
      <c r="G62" t="s">
        <v>247</v>
      </c>
      <c r="H62" t="s">
        <v>248</v>
      </c>
      <c r="I62">
        <v>10001</v>
      </c>
      <c r="J62" t="s">
        <v>446</v>
      </c>
      <c r="K62" t="s">
        <v>263</v>
      </c>
      <c r="L62" t="s">
        <v>275</v>
      </c>
      <c r="M62" t="s">
        <v>259</v>
      </c>
    </row>
    <row r="63" spans="1:13" x14ac:dyDescent="0.45">
      <c r="A63">
        <v>18679</v>
      </c>
      <c r="B63" t="s">
        <v>447</v>
      </c>
      <c r="C63" t="s">
        <v>448</v>
      </c>
      <c r="D63" t="str">
        <f>Customers[[#This Row],[First name]]&amp;" "&amp;Customers[[#This Row],[Last name]]</f>
        <v>Edwina Mullen</v>
      </c>
      <c r="E63" t="s">
        <v>449</v>
      </c>
      <c r="F63" t="s">
        <v>66</v>
      </c>
      <c r="G63" t="s">
        <v>247</v>
      </c>
      <c r="H63" t="s">
        <v>248</v>
      </c>
      <c r="I63">
        <v>56984</v>
      </c>
      <c r="J63" t="s">
        <v>450</v>
      </c>
      <c r="K63" t="s">
        <v>263</v>
      </c>
      <c r="L63" t="s">
        <v>251</v>
      </c>
      <c r="M63" t="s">
        <v>259</v>
      </c>
    </row>
    <row r="64" spans="1:13" x14ac:dyDescent="0.45">
      <c r="A64">
        <v>18854</v>
      </c>
      <c r="B64" t="s">
        <v>451</v>
      </c>
      <c r="C64" t="s">
        <v>452</v>
      </c>
      <c r="D64" t="str">
        <f>Customers[[#This Row],[First name]]&amp;" "&amp;Customers[[#This Row],[Last name]]</f>
        <v>Sally Gallegos</v>
      </c>
      <c r="E64" t="s">
        <v>278</v>
      </c>
      <c r="F64" t="s">
        <v>35</v>
      </c>
      <c r="G64" t="s">
        <v>247</v>
      </c>
      <c r="H64" t="s">
        <v>248</v>
      </c>
      <c r="I64">
        <v>23438</v>
      </c>
      <c r="J64" t="s">
        <v>453</v>
      </c>
      <c r="K64" t="s">
        <v>250</v>
      </c>
      <c r="L64" t="s">
        <v>275</v>
      </c>
      <c r="M64" t="s">
        <v>259</v>
      </c>
    </row>
    <row r="65" spans="1:13" x14ac:dyDescent="0.45">
      <c r="A65">
        <v>18962</v>
      </c>
      <c r="B65" t="s">
        <v>454</v>
      </c>
      <c r="C65" t="s">
        <v>455</v>
      </c>
      <c r="D65" t="str">
        <f>Customers[[#This Row],[First name]]&amp;" "&amp;Customers[[#This Row],[Last name]]</f>
        <v>Tuqaa Naser</v>
      </c>
      <c r="E65" t="s">
        <v>282</v>
      </c>
      <c r="F65" t="s">
        <v>51</v>
      </c>
      <c r="G65" t="s">
        <v>247</v>
      </c>
      <c r="H65" t="s">
        <v>248</v>
      </c>
      <c r="I65">
        <v>55778</v>
      </c>
      <c r="J65" t="s">
        <v>288</v>
      </c>
      <c r="K65" t="s">
        <v>250</v>
      </c>
      <c r="L65" t="s">
        <v>258</v>
      </c>
      <c r="M65" t="s">
        <v>259</v>
      </c>
    </row>
    <row r="66" spans="1:13" x14ac:dyDescent="0.45">
      <c r="A66">
        <v>18982</v>
      </c>
      <c r="B66" t="s">
        <v>456</v>
      </c>
      <c r="C66" t="s">
        <v>457</v>
      </c>
      <c r="D66" t="str">
        <f>Customers[[#This Row],[First name]]&amp;" "&amp;Customers[[#This Row],[Last name]]</f>
        <v>Esteban Treat</v>
      </c>
      <c r="E66" t="s">
        <v>270</v>
      </c>
      <c r="F66" t="s">
        <v>98</v>
      </c>
      <c r="G66" t="s">
        <v>247</v>
      </c>
      <c r="H66" t="s">
        <v>248</v>
      </c>
      <c r="I66">
        <v>97202</v>
      </c>
      <c r="J66" t="s">
        <v>348</v>
      </c>
      <c r="K66" t="s">
        <v>250</v>
      </c>
      <c r="L66" t="s">
        <v>275</v>
      </c>
      <c r="M66" t="s">
        <v>259</v>
      </c>
    </row>
    <row r="67" spans="1:13" x14ac:dyDescent="0.45">
      <c r="A67">
        <v>19063</v>
      </c>
      <c r="B67" t="s">
        <v>458</v>
      </c>
      <c r="C67" t="s">
        <v>459</v>
      </c>
      <c r="D67" t="str">
        <f>Customers[[#This Row],[First name]]&amp;" "&amp;Customers[[#This Row],[Last name]]</f>
        <v>Maison  Herve</v>
      </c>
      <c r="E67" t="s">
        <v>326</v>
      </c>
      <c r="F67" t="s">
        <v>41</v>
      </c>
      <c r="G67" t="s">
        <v>247</v>
      </c>
      <c r="H67" t="s">
        <v>248</v>
      </c>
      <c r="I67">
        <v>55778</v>
      </c>
      <c r="J67" t="s">
        <v>460</v>
      </c>
      <c r="K67" t="s">
        <v>263</v>
      </c>
      <c r="L67" t="s">
        <v>258</v>
      </c>
      <c r="M67" t="s">
        <v>252</v>
      </c>
    </row>
    <row r="68" spans="1:13" x14ac:dyDescent="0.45">
      <c r="A68">
        <v>19112</v>
      </c>
      <c r="B68" t="s">
        <v>376</v>
      </c>
      <c r="C68" t="s">
        <v>461</v>
      </c>
      <c r="D68" t="str">
        <f>Customers[[#This Row],[First name]]&amp;" "&amp;Customers[[#This Row],[Last name]]</f>
        <v>Dominic Bonsaint</v>
      </c>
      <c r="E68" t="s">
        <v>462</v>
      </c>
      <c r="F68" t="s">
        <v>35</v>
      </c>
      <c r="G68" t="s">
        <v>247</v>
      </c>
      <c r="H68" t="s">
        <v>248</v>
      </c>
      <c r="I68">
        <v>23402</v>
      </c>
      <c r="J68" t="s">
        <v>463</v>
      </c>
      <c r="K68" t="s">
        <v>257</v>
      </c>
      <c r="L68" t="s">
        <v>275</v>
      </c>
      <c r="M68" t="s">
        <v>259</v>
      </c>
    </row>
    <row r="69" spans="1:13" x14ac:dyDescent="0.45">
      <c r="A69">
        <v>19375</v>
      </c>
      <c r="B69" t="s">
        <v>464</v>
      </c>
      <c r="C69" t="s">
        <v>465</v>
      </c>
      <c r="D69" t="str">
        <f>Customers[[#This Row],[First name]]&amp;" "&amp;Customers[[#This Row],[Last name]]</f>
        <v>Fabio Fernandes</v>
      </c>
      <c r="E69" t="s">
        <v>282</v>
      </c>
      <c r="F69" t="s">
        <v>51</v>
      </c>
      <c r="G69" t="s">
        <v>247</v>
      </c>
      <c r="H69" t="s">
        <v>248</v>
      </c>
      <c r="I69">
        <v>55778</v>
      </c>
      <c r="J69" t="s">
        <v>336</v>
      </c>
      <c r="K69" t="s">
        <v>250</v>
      </c>
      <c r="L69" t="s">
        <v>251</v>
      </c>
      <c r="M69" t="s">
        <v>259</v>
      </c>
    </row>
    <row r="70" spans="1:13" x14ac:dyDescent="0.45">
      <c r="A70">
        <v>19737</v>
      </c>
      <c r="B70" t="s">
        <v>466</v>
      </c>
      <c r="C70" t="s">
        <v>467</v>
      </c>
      <c r="D70" t="str">
        <f>Customers[[#This Row],[First name]]&amp;" "&amp;Customers[[#This Row],[Last name]]</f>
        <v>Malika Nueimat</v>
      </c>
      <c r="E70" t="s">
        <v>278</v>
      </c>
      <c r="F70" t="s">
        <v>96</v>
      </c>
      <c r="G70" t="s">
        <v>247</v>
      </c>
      <c r="H70" t="s">
        <v>248</v>
      </c>
      <c r="I70">
        <v>88204</v>
      </c>
      <c r="J70" t="s">
        <v>468</v>
      </c>
      <c r="K70" t="s">
        <v>250</v>
      </c>
      <c r="L70" t="s">
        <v>275</v>
      </c>
      <c r="M70" t="s">
        <v>259</v>
      </c>
    </row>
    <row r="71" spans="1:13" x14ac:dyDescent="0.45">
      <c r="A71">
        <v>19842</v>
      </c>
      <c r="B71" t="s">
        <v>469</v>
      </c>
      <c r="C71" t="s">
        <v>470</v>
      </c>
      <c r="D71" t="str">
        <f>Customers[[#This Row],[First name]]&amp;" "&amp;Customers[[#This Row],[Last name]]</f>
        <v>Ruwaidah Bishara</v>
      </c>
      <c r="E71" t="s">
        <v>326</v>
      </c>
      <c r="F71" t="s">
        <v>96</v>
      </c>
      <c r="G71" t="s">
        <v>247</v>
      </c>
      <c r="H71" t="s">
        <v>248</v>
      </c>
      <c r="I71">
        <v>34512</v>
      </c>
      <c r="J71" t="s">
        <v>412</v>
      </c>
      <c r="K71" t="s">
        <v>257</v>
      </c>
      <c r="L71" t="s">
        <v>251</v>
      </c>
      <c r="M71" t="s">
        <v>259</v>
      </c>
    </row>
    <row r="72" spans="1:13" x14ac:dyDescent="0.45">
      <c r="A72">
        <v>19904</v>
      </c>
      <c r="B72" t="s">
        <v>471</v>
      </c>
      <c r="C72" t="s">
        <v>472</v>
      </c>
      <c r="D72" t="str">
        <f>Customers[[#This Row],[First name]]&amp;" "&amp;Customers[[#This Row],[Last name]]</f>
        <v>Catherine Alford</v>
      </c>
      <c r="E72" t="s">
        <v>360</v>
      </c>
      <c r="F72" t="s">
        <v>98</v>
      </c>
      <c r="G72" t="s">
        <v>247</v>
      </c>
      <c r="H72" t="s">
        <v>248</v>
      </c>
      <c r="I72">
        <v>23402</v>
      </c>
      <c r="J72" t="s">
        <v>473</v>
      </c>
      <c r="K72" t="s">
        <v>250</v>
      </c>
      <c r="L72" t="s">
        <v>251</v>
      </c>
      <c r="M72" t="s">
        <v>337</v>
      </c>
    </row>
    <row r="73" spans="1:13" x14ac:dyDescent="0.45">
      <c r="A73">
        <v>20051</v>
      </c>
      <c r="B73" t="s">
        <v>474</v>
      </c>
      <c r="C73" t="s">
        <v>475</v>
      </c>
      <c r="D73" t="str">
        <f>Customers[[#This Row],[First name]]&amp;" "&amp;Customers[[#This Row],[Last name]]</f>
        <v>Ruby Shaffer</v>
      </c>
      <c r="E73" t="s">
        <v>407</v>
      </c>
      <c r="F73" t="s">
        <v>92</v>
      </c>
      <c r="G73" t="s">
        <v>247</v>
      </c>
      <c r="H73" t="s">
        <v>248</v>
      </c>
      <c r="I73">
        <v>67435</v>
      </c>
      <c r="J73" t="s">
        <v>476</v>
      </c>
      <c r="K73" t="s">
        <v>250</v>
      </c>
      <c r="L73" t="s">
        <v>275</v>
      </c>
      <c r="M73" t="s">
        <v>259</v>
      </c>
    </row>
    <row r="74" spans="1:13" x14ac:dyDescent="0.45">
      <c r="A74">
        <v>20177</v>
      </c>
      <c r="B74" t="s">
        <v>477</v>
      </c>
      <c r="C74" t="s">
        <v>478</v>
      </c>
      <c r="D74" t="str">
        <f>Customers[[#This Row],[First name]]&amp;" "&amp;Customers[[#This Row],[Last name]]</f>
        <v>Libby Stokes</v>
      </c>
      <c r="E74" t="s">
        <v>266</v>
      </c>
      <c r="F74" t="s">
        <v>41</v>
      </c>
      <c r="G74" t="s">
        <v>247</v>
      </c>
      <c r="H74" t="s">
        <v>248</v>
      </c>
      <c r="I74">
        <v>11215</v>
      </c>
      <c r="J74" t="s">
        <v>292</v>
      </c>
      <c r="K74" t="s">
        <v>263</v>
      </c>
      <c r="L74" t="s">
        <v>251</v>
      </c>
      <c r="M74" t="s">
        <v>259</v>
      </c>
    </row>
    <row r="75" spans="1:13" x14ac:dyDescent="0.45">
      <c r="A75">
        <v>20676</v>
      </c>
      <c r="B75" t="s">
        <v>479</v>
      </c>
      <c r="C75" t="s">
        <v>480</v>
      </c>
      <c r="D75" t="str">
        <f>Customers[[#This Row],[First name]]&amp;" "&amp;Customers[[#This Row],[Last name]]</f>
        <v>Nancy Terry</v>
      </c>
      <c r="E75" t="s">
        <v>360</v>
      </c>
      <c r="F75" t="s">
        <v>63</v>
      </c>
      <c r="G75" t="s">
        <v>247</v>
      </c>
      <c r="H75" t="s">
        <v>248</v>
      </c>
      <c r="I75">
        <v>56984</v>
      </c>
      <c r="J75" t="s">
        <v>422</v>
      </c>
      <c r="K75" t="s">
        <v>250</v>
      </c>
      <c r="L75" t="s">
        <v>251</v>
      </c>
      <c r="M75" t="s">
        <v>259</v>
      </c>
    </row>
    <row r="76" spans="1:13" x14ac:dyDescent="0.45">
      <c r="A76">
        <v>20832</v>
      </c>
      <c r="B76" t="s">
        <v>481</v>
      </c>
      <c r="C76" t="s">
        <v>482</v>
      </c>
      <c r="D76" t="str">
        <f>Customers[[#This Row],[First name]]&amp;" "&amp;Customers[[#This Row],[Last name]]</f>
        <v>Pau Valadez</v>
      </c>
      <c r="E76" t="s">
        <v>435</v>
      </c>
      <c r="F76" t="s">
        <v>63</v>
      </c>
      <c r="G76" t="s">
        <v>247</v>
      </c>
      <c r="H76" t="s">
        <v>248</v>
      </c>
      <c r="I76">
        <v>97202</v>
      </c>
      <c r="J76" t="s">
        <v>483</v>
      </c>
      <c r="K76" t="s">
        <v>263</v>
      </c>
      <c r="L76" t="s">
        <v>275</v>
      </c>
      <c r="M76" t="s">
        <v>259</v>
      </c>
    </row>
    <row r="77" spans="1:13" x14ac:dyDescent="0.45">
      <c r="A77">
        <v>20912</v>
      </c>
      <c r="B77" t="s">
        <v>484</v>
      </c>
      <c r="C77" t="s">
        <v>485</v>
      </c>
      <c r="D77" t="str">
        <f>Customers[[#This Row],[First name]]&amp;" "&amp;Customers[[#This Row],[Last name]]</f>
        <v>Jorge Casanova</v>
      </c>
      <c r="E77" t="s">
        <v>411</v>
      </c>
      <c r="F77" t="s">
        <v>88</v>
      </c>
      <c r="G77" t="s">
        <v>247</v>
      </c>
      <c r="H77" t="s">
        <v>248</v>
      </c>
      <c r="I77">
        <v>94568</v>
      </c>
      <c r="J77" t="s">
        <v>486</v>
      </c>
      <c r="K77" t="s">
        <v>250</v>
      </c>
      <c r="L77" t="s">
        <v>251</v>
      </c>
      <c r="M77" t="s">
        <v>259</v>
      </c>
    </row>
    <row r="78" spans="1:13" x14ac:dyDescent="0.45">
      <c r="A78">
        <v>21064</v>
      </c>
      <c r="B78" t="s">
        <v>487</v>
      </c>
      <c r="C78" t="s">
        <v>488</v>
      </c>
      <c r="D78" t="str">
        <f>Customers[[#This Row],[First name]]&amp;" "&amp;Customers[[#This Row],[Last name]]</f>
        <v>Nathan Bottoms</v>
      </c>
      <c r="E78" t="s">
        <v>364</v>
      </c>
      <c r="F78" t="s">
        <v>51</v>
      </c>
      <c r="G78" t="s">
        <v>247</v>
      </c>
      <c r="H78" t="s">
        <v>248</v>
      </c>
      <c r="I78">
        <v>67435</v>
      </c>
      <c r="J78" t="s">
        <v>271</v>
      </c>
      <c r="K78" t="s">
        <v>263</v>
      </c>
      <c r="L78" t="s">
        <v>258</v>
      </c>
      <c r="M78" t="s">
        <v>259</v>
      </c>
    </row>
    <row r="79" spans="1:13" x14ac:dyDescent="0.45">
      <c r="A79">
        <v>21104</v>
      </c>
      <c r="B79" t="s">
        <v>489</v>
      </c>
      <c r="C79" t="s">
        <v>490</v>
      </c>
      <c r="D79" t="str">
        <f>Customers[[#This Row],[First name]]&amp;" "&amp;Customers[[#This Row],[Last name]]</f>
        <v>Chris Bromley</v>
      </c>
      <c r="E79" t="s">
        <v>298</v>
      </c>
      <c r="F79" t="s">
        <v>51</v>
      </c>
      <c r="G79" t="s">
        <v>247</v>
      </c>
      <c r="H79" t="s">
        <v>248</v>
      </c>
      <c r="I79">
        <v>56984</v>
      </c>
      <c r="J79" t="s">
        <v>302</v>
      </c>
      <c r="K79" t="s">
        <v>257</v>
      </c>
      <c r="L79" t="s">
        <v>258</v>
      </c>
      <c r="M79" t="s">
        <v>259</v>
      </c>
    </row>
    <row r="80" spans="1:13" x14ac:dyDescent="0.45">
      <c r="A80">
        <v>21293</v>
      </c>
      <c r="B80" t="s">
        <v>491</v>
      </c>
      <c r="C80" t="s">
        <v>492</v>
      </c>
      <c r="D80" t="str">
        <f>Customers[[#This Row],[First name]]&amp;" "&amp;Customers[[#This Row],[Last name]]</f>
        <v>Demi Holloway</v>
      </c>
      <c r="E80" t="s">
        <v>282</v>
      </c>
      <c r="F80" t="s">
        <v>92</v>
      </c>
      <c r="G80" t="s">
        <v>247</v>
      </c>
      <c r="H80" t="s">
        <v>248</v>
      </c>
      <c r="I80">
        <v>67839</v>
      </c>
      <c r="J80" t="s">
        <v>402</v>
      </c>
      <c r="K80" t="s">
        <v>263</v>
      </c>
      <c r="L80" t="s">
        <v>275</v>
      </c>
      <c r="M80" t="s">
        <v>259</v>
      </c>
    </row>
    <row r="81" spans="1:13" x14ac:dyDescent="0.45">
      <c r="A81">
        <v>21321</v>
      </c>
      <c r="B81" t="s">
        <v>493</v>
      </c>
      <c r="C81" t="s">
        <v>494</v>
      </c>
      <c r="D81" t="str">
        <f>Customers[[#This Row],[First name]]&amp;" "&amp;Customers[[#This Row],[Last name]]</f>
        <v>Toby Perkins</v>
      </c>
      <c r="E81" t="s">
        <v>364</v>
      </c>
      <c r="F81" t="s">
        <v>78</v>
      </c>
      <c r="G81" t="s">
        <v>247</v>
      </c>
      <c r="H81" t="s">
        <v>248</v>
      </c>
      <c r="I81">
        <v>94568</v>
      </c>
      <c r="J81" t="s">
        <v>310</v>
      </c>
      <c r="K81" t="s">
        <v>257</v>
      </c>
      <c r="L81" t="s">
        <v>275</v>
      </c>
      <c r="M81" t="s">
        <v>259</v>
      </c>
    </row>
    <row r="82" spans="1:13" x14ac:dyDescent="0.45">
      <c r="A82">
        <v>21339</v>
      </c>
      <c r="B82" t="s">
        <v>495</v>
      </c>
      <c r="C82" t="s">
        <v>496</v>
      </c>
      <c r="D82" t="str">
        <f>Customers[[#This Row],[First name]]&amp;" "&amp;Customers[[#This Row],[Last name]]</f>
        <v>Genevieve Meilleur</v>
      </c>
      <c r="E82" t="s">
        <v>282</v>
      </c>
      <c r="F82" t="s">
        <v>41</v>
      </c>
      <c r="G82" t="s">
        <v>247</v>
      </c>
      <c r="H82" t="s">
        <v>248</v>
      </c>
      <c r="I82">
        <v>88204</v>
      </c>
      <c r="J82" t="s">
        <v>497</v>
      </c>
      <c r="K82" t="s">
        <v>250</v>
      </c>
      <c r="L82" t="s">
        <v>258</v>
      </c>
      <c r="M82" t="s">
        <v>259</v>
      </c>
    </row>
    <row r="83" spans="1:13" x14ac:dyDescent="0.45">
      <c r="A83">
        <v>21702</v>
      </c>
      <c r="B83" t="s">
        <v>498</v>
      </c>
      <c r="C83" t="s">
        <v>499</v>
      </c>
      <c r="D83" t="str">
        <f>Customers[[#This Row],[First name]]&amp;" "&amp;Customers[[#This Row],[Last name]]</f>
        <v>Miguel Howerton</v>
      </c>
      <c r="E83" t="s">
        <v>449</v>
      </c>
      <c r="F83" t="s">
        <v>56</v>
      </c>
      <c r="G83" t="s">
        <v>287</v>
      </c>
      <c r="H83" t="s">
        <v>248</v>
      </c>
      <c r="I83">
        <v>34512</v>
      </c>
      <c r="J83" t="s">
        <v>500</v>
      </c>
      <c r="K83" t="s">
        <v>263</v>
      </c>
      <c r="L83" t="s">
        <v>258</v>
      </c>
      <c r="M83" t="s">
        <v>259</v>
      </c>
    </row>
    <row r="84" spans="1:13" x14ac:dyDescent="0.45">
      <c r="A84">
        <v>21785</v>
      </c>
      <c r="B84" t="s">
        <v>501</v>
      </c>
      <c r="C84" t="s">
        <v>502</v>
      </c>
      <c r="D84" t="str">
        <f>Customers[[#This Row],[First name]]&amp;" "&amp;Customers[[#This Row],[Last name]]</f>
        <v>Philippe Pelland</v>
      </c>
      <c r="E84" t="s">
        <v>390</v>
      </c>
      <c r="F84" t="s">
        <v>41</v>
      </c>
      <c r="G84" t="s">
        <v>247</v>
      </c>
      <c r="H84" t="s">
        <v>248</v>
      </c>
      <c r="I84">
        <v>94568</v>
      </c>
      <c r="J84" t="s">
        <v>408</v>
      </c>
      <c r="K84" t="s">
        <v>257</v>
      </c>
      <c r="L84" t="s">
        <v>258</v>
      </c>
      <c r="M84" t="s">
        <v>413</v>
      </c>
    </row>
    <row r="85" spans="1:13" x14ac:dyDescent="0.45">
      <c r="A85">
        <v>21803</v>
      </c>
      <c r="B85" t="s">
        <v>503</v>
      </c>
      <c r="C85" t="s">
        <v>504</v>
      </c>
      <c r="D85" t="str">
        <f>Customers[[#This Row],[First name]]&amp;" "&amp;Customers[[#This Row],[Last name]]</f>
        <v>Xiang Zhong</v>
      </c>
      <c r="E85" t="s">
        <v>340</v>
      </c>
      <c r="F85" t="s">
        <v>49</v>
      </c>
      <c r="G85" t="s">
        <v>247</v>
      </c>
      <c r="H85" t="s">
        <v>248</v>
      </c>
      <c r="I85">
        <v>23438</v>
      </c>
      <c r="J85" t="s">
        <v>505</v>
      </c>
      <c r="K85" t="s">
        <v>257</v>
      </c>
      <c r="L85" t="s">
        <v>258</v>
      </c>
      <c r="M85" t="s">
        <v>506</v>
      </c>
    </row>
    <row r="86" spans="1:13" x14ac:dyDescent="0.45">
      <c r="A86">
        <v>21852</v>
      </c>
      <c r="B86" t="s">
        <v>507</v>
      </c>
      <c r="C86" t="s">
        <v>508</v>
      </c>
      <c r="D86" t="str">
        <f>Customers[[#This Row],[First name]]&amp;" "&amp;Customers[[#This Row],[Last name]]</f>
        <v>Desiree Maldonado</v>
      </c>
      <c r="E86" t="s">
        <v>305</v>
      </c>
      <c r="F86" t="s">
        <v>41</v>
      </c>
      <c r="G86" t="s">
        <v>247</v>
      </c>
      <c r="H86" t="s">
        <v>248</v>
      </c>
      <c r="I86">
        <v>34512</v>
      </c>
      <c r="J86" t="s">
        <v>383</v>
      </c>
      <c r="K86" t="s">
        <v>250</v>
      </c>
      <c r="L86" t="s">
        <v>258</v>
      </c>
      <c r="M86" t="s">
        <v>506</v>
      </c>
    </row>
    <row r="87" spans="1:13" x14ac:dyDescent="0.45">
      <c r="A87">
        <v>21914</v>
      </c>
      <c r="B87" t="s">
        <v>509</v>
      </c>
      <c r="C87" t="s">
        <v>510</v>
      </c>
      <c r="D87" t="str">
        <f>Customers[[#This Row],[First name]]&amp;" "&amp;Customers[[#This Row],[Last name]]</f>
        <v>Cornelia Guerrero</v>
      </c>
      <c r="E87" t="s">
        <v>266</v>
      </c>
      <c r="F87" t="s">
        <v>51</v>
      </c>
      <c r="G87" t="s">
        <v>247</v>
      </c>
      <c r="H87" t="s">
        <v>248</v>
      </c>
      <c r="I87">
        <v>97202</v>
      </c>
      <c r="J87" t="s">
        <v>511</v>
      </c>
      <c r="K87" t="s">
        <v>250</v>
      </c>
      <c r="L87" t="s">
        <v>258</v>
      </c>
      <c r="M87" t="s">
        <v>259</v>
      </c>
    </row>
    <row r="88" spans="1:13" x14ac:dyDescent="0.45">
      <c r="A88">
        <v>21959</v>
      </c>
      <c r="B88" t="s">
        <v>512</v>
      </c>
      <c r="C88" t="s">
        <v>513</v>
      </c>
      <c r="D88" t="str">
        <f>Customers[[#This Row],[First name]]&amp;" "&amp;Customers[[#This Row],[Last name]]</f>
        <v>Gonzalo Vazquez</v>
      </c>
      <c r="E88" t="s">
        <v>462</v>
      </c>
      <c r="F88" t="s">
        <v>88</v>
      </c>
      <c r="G88" t="s">
        <v>247</v>
      </c>
      <c r="H88" t="s">
        <v>248</v>
      </c>
      <c r="I88">
        <v>11215</v>
      </c>
      <c r="J88" t="s">
        <v>295</v>
      </c>
      <c r="K88" t="s">
        <v>250</v>
      </c>
      <c r="L88" t="s">
        <v>258</v>
      </c>
      <c r="M88" t="s">
        <v>259</v>
      </c>
    </row>
    <row r="89" spans="1:13" x14ac:dyDescent="0.45">
      <c r="A89">
        <v>22015</v>
      </c>
      <c r="B89" t="s">
        <v>514</v>
      </c>
      <c r="C89" t="s">
        <v>515</v>
      </c>
      <c r="D89" t="str">
        <f>Customers[[#This Row],[First name]]&amp;" "&amp;Customers[[#This Row],[Last name]]</f>
        <v>Kareem Kuzbari</v>
      </c>
      <c r="E89" t="s">
        <v>449</v>
      </c>
      <c r="F89" t="s">
        <v>56</v>
      </c>
      <c r="G89" t="s">
        <v>287</v>
      </c>
      <c r="H89" t="s">
        <v>248</v>
      </c>
      <c r="I89">
        <v>67435</v>
      </c>
      <c r="J89" t="s">
        <v>516</v>
      </c>
      <c r="K89" t="s">
        <v>257</v>
      </c>
      <c r="L89" t="s">
        <v>275</v>
      </c>
      <c r="M89" t="s">
        <v>259</v>
      </c>
    </row>
    <row r="90" spans="1:13" x14ac:dyDescent="0.45">
      <c r="A90">
        <v>22094</v>
      </c>
      <c r="B90" t="s">
        <v>517</v>
      </c>
      <c r="C90" t="s">
        <v>518</v>
      </c>
      <c r="D90" t="str">
        <f>Customers[[#This Row],[First name]]&amp;" "&amp;Customers[[#This Row],[Last name]]</f>
        <v>Terrence McGowan</v>
      </c>
      <c r="E90" t="s">
        <v>360</v>
      </c>
      <c r="F90" t="s">
        <v>51</v>
      </c>
      <c r="G90" t="s">
        <v>247</v>
      </c>
      <c r="H90" t="s">
        <v>248</v>
      </c>
      <c r="I90">
        <v>10001</v>
      </c>
      <c r="J90" t="s">
        <v>430</v>
      </c>
      <c r="K90" t="s">
        <v>257</v>
      </c>
      <c r="L90" t="s">
        <v>275</v>
      </c>
      <c r="M90" t="s">
        <v>519</v>
      </c>
    </row>
    <row r="91" spans="1:13" x14ac:dyDescent="0.45">
      <c r="A91">
        <v>22544</v>
      </c>
      <c r="B91" t="s">
        <v>520</v>
      </c>
      <c r="C91" t="s">
        <v>521</v>
      </c>
      <c r="D91" t="str">
        <f>Customers[[#This Row],[First name]]&amp;" "&amp;Customers[[#This Row],[Last name]]</f>
        <v>Gilbert Charron</v>
      </c>
      <c r="E91" t="s">
        <v>411</v>
      </c>
      <c r="F91" t="s">
        <v>35</v>
      </c>
      <c r="G91" t="s">
        <v>247</v>
      </c>
      <c r="H91" t="s">
        <v>248</v>
      </c>
      <c r="I91">
        <v>67435</v>
      </c>
      <c r="J91" t="s">
        <v>369</v>
      </c>
      <c r="K91" t="s">
        <v>263</v>
      </c>
      <c r="L91" t="s">
        <v>275</v>
      </c>
      <c r="M91" t="s">
        <v>259</v>
      </c>
    </row>
    <row r="92" spans="1:13" x14ac:dyDescent="0.45">
      <c r="A92">
        <v>22597</v>
      </c>
      <c r="B92" t="s">
        <v>522</v>
      </c>
      <c r="C92" t="s">
        <v>523</v>
      </c>
      <c r="D92" t="str">
        <f>Customers[[#This Row],[First name]]&amp;" "&amp;Customers[[#This Row],[Last name]]</f>
        <v>Felipe Bui</v>
      </c>
      <c r="E92" t="s">
        <v>340</v>
      </c>
      <c r="F92" t="s">
        <v>54</v>
      </c>
      <c r="G92" t="s">
        <v>287</v>
      </c>
      <c r="H92" t="s">
        <v>248</v>
      </c>
      <c r="I92">
        <v>23438</v>
      </c>
      <c r="J92" t="s">
        <v>524</v>
      </c>
      <c r="K92" t="s">
        <v>263</v>
      </c>
      <c r="L92" t="s">
        <v>275</v>
      </c>
      <c r="M92" t="s">
        <v>259</v>
      </c>
    </row>
    <row r="93" spans="1:13" x14ac:dyDescent="0.45">
      <c r="A93">
        <v>22611</v>
      </c>
      <c r="B93" t="s">
        <v>525</v>
      </c>
      <c r="C93" t="s">
        <v>526</v>
      </c>
      <c r="D93" t="str">
        <f>Customers[[#This Row],[First name]]&amp;" "&amp;Customers[[#This Row],[Last name]]</f>
        <v>Kristine Bass</v>
      </c>
      <c r="E93" t="s">
        <v>320</v>
      </c>
      <c r="F93" t="s">
        <v>98</v>
      </c>
      <c r="G93" t="s">
        <v>247</v>
      </c>
      <c r="H93" t="s">
        <v>248</v>
      </c>
      <c r="I93">
        <v>34512</v>
      </c>
      <c r="J93" t="s">
        <v>450</v>
      </c>
      <c r="K93" t="s">
        <v>257</v>
      </c>
      <c r="L93" t="s">
        <v>275</v>
      </c>
      <c r="M93" t="s">
        <v>259</v>
      </c>
    </row>
    <row r="94" spans="1:13" x14ac:dyDescent="0.45">
      <c r="A94">
        <v>22645</v>
      </c>
      <c r="B94" t="s">
        <v>527</v>
      </c>
      <c r="C94" t="s">
        <v>528</v>
      </c>
      <c r="D94" t="str">
        <f>Customers[[#This Row],[First name]]&amp;" "&amp;Customers[[#This Row],[Last name]]</f>
        <v>Darnell Nall</v>
      </c>
      <c r="E94" t="s">
        <v>255</v>
      </c>
      <c r="F94" t="s">
        <v>41</v>
      </c>
      <c r="G94" t="s">
        <v>247</v>
      </c>
      <c r="H94" t="s">
        <v>248</v>
      </c>
      <c r="I94">
        <v>88204</v>
      </c>
      <c r="J94" t="s">
        <v>529</v>
      </c>
      <c r="K94" t="s">
        <v>263</v>
      </c>
      <c r="L94" t="s">
        <v>251</v>
      </c>
      <c r="M94" t="s">
        <v>384</v>
      </c>
    </row>
    <row r="95" spans="1:13" x14ac:dyDescent="0.45">
      <c r="A95">
        <v>22708</v>
      </c>
      <c r="B95" t="s">
        <v>530</v>
      </c>
      <c r="C95" t="s">
        <v>531</v>
      </c>
      <c r="D95" t="str">
        <f>Customers[[#This Row],[First name]]&amp;" "&amp;Customers[[#This Row],[Last name]]</f>
        <v>Lian Fan</v>
      </c>
      <c r="E95" t="s">
        <v>291</v>
      </c>
      <c r="F95" t="s">
        <v>63</v>
      </c>
      <c r="G95" t="s">
        <v>247</v>
      </c>
      <c r="H95" t="s">
        <v>248</v>
      </c>
      <c r="I95">
        <v>56984</v>
      </c>
      <c r="J95" t="s">
        <v>532</v>
      </c>
      <c r="K95" t="s">
        <v>250</v>
      </c>
      <c r="L95" t="s">
        <v>251</v>
      </c>
      <c r="M95" t="s">
        <v>259</v>
      </c>
    </row>
    <row r="96" spans="1:13" x14ac:dyDescent="0.45">
      <c r="A96">
        <v>22713</v>
      </c>
      <c r="B96" t="s">
        <v>533</v>
      </c>
      <c r="C96" t="s">
        <v>534</v>
      </c>
      <c r="D96" t="str">
        <f>Customers[[#This Row],[First name]]&amp;" "&amp;Customers[[#This Row],[Last name]]</f>
        <v>Eugenia Austin</v>
      </c>
      <c r="E96" t="s">
        <v>360</v>
      </c>
      <c r="F96" t="s">
        <v>46</v>
      </c>
      <c r="G96" t="s">
        <v>351</v>
      </c>
      <c r="H96" t="s">
        <v>248</v>
      </c>
      <c r="I96">
        <v>10001</v>
      </c>
      <c r="J96" t="s">
        <v>535</v>
      </c>
      <c r="K96" t="s">
        <v>257</v>
      </c>
      <c r="L96" t="s">
        <v>275</v>
      </c>
      <c r="M96" t="s">
        <v>259</v>
      </c>
    </row>
    <row r="97" spans="1:13" x14ac:dyDescent="0.45">
      <c r="A97">
        <v>22749</v>
      </c>
      <c r="B97" t="s">
        <v>536</v>
      </c>
      <c r="C97" t="s">
        <v>537</v>
      </c>
      <c r="D97" t="str">
        <f>Customers[[#This Row],[First name]]&amp;" "&amp;Customers[[#This Row],[Last name]]</f>
        <v>Emery Cate</v>
      </c>
      <c r="E97" t="s">
        <v>309</v>
      </c>
      <c r="F97" t="s">
        <v>56</v>
      </c>
      <c r="G97" t="s">
        <v>287</v>
      </c>
      <c r="H97" t="s">
        <v>248</v>
      </c>
      <c r="I97">
        <v>98107</v>
      </c>
      <c r="J97" t="s">
        <v>274</v>
      </c>
      <c r="K97" t="s">
        <v>263</v>
      </c>
      <c r="L97" t="s">
        <v>258</v>
      </c>
      <c r="M97" t="s">
        <v>337</v>
      </c>
    </row>
    <row r="98" spans="1:13" x14ac:dyDescent="0.45">
      <c r="A98">
        <v>22829</v>
      </c>
      <c r="B98" t="s">
        <v>538</v>
      </c>
      <c r="C98" t="s">
        <v>539</v>
      </c>
      <c r="D98" t="str">
        <f>Customers[[#This Row],[First name]]&amp;" "&amp;Customers[[#This Row],[Last name]]</f>
        <v>Jacqueline  Brunelle</v>
      </c>
      <c r="E98" t="s">
        <v>407</v>
      </c>
      <c r="F98" t="s">
        <v>38</v>
      </c>
      <c r="G98" t="s">
        <v>247</v>
      </c>
      <c r="H98" t="s">
        <v>248</v>
      </c>
      <c r="I98">
        <v>56984</v>
      </c>
      <c r="J98" t="s">
        <v>473</v>
      </c>
      <c r="K98" t="s">
        <v>263</v>
      </c>
      <c r="L98" t="s">
        <v>275</v>
      </c>
      <c r="M98" t="s">
        <v>259</v>
      </c>
    </row>
    <row r="99" spans="1:13" x14ac:dyDescent="0.45">
      <c r="A99">
        <v>22883</v>
      </c>
      <c r="B99" t="s">
        <v>540</v>
      </c>
      <c r="C99" t="s">
        <v>357</v>
      </c>
      <c r="D99" t="str">
        <f>Customers[[#This Row],[First name]]&amp;" "&amp;Customers[[#This Row],[Last name]]</f>
        <v>Shi He</v>
      </c>
      <c r="E99" t="s">
        <v>411</v>
      </c>
      <c r="F99" t="s">
        <v>66</v>
      </c>
      <c r="G99" t="s">
        <v>247</v>
      </c>
      <c r="H99" t="s">
        <v>248</v>
      </c>
      <c r="I99">
        <v>23438</v>
      </c>
      <c r="J99" t="s">
        <v>371</v>
      </c>
      <c r="K99" t="s">
        <v>257</v>
      </c>
      <c r="L99" t="s">
        <v>251</v>
      </c>
      <c r="M99" t="s">
        <v>259</v>
      </c>
    </row>
    <row r="100" spans="1:13" x14ac:dyDescent="0.45">
      <c r="A100">
        <v>22911</v>
      </c>
      <c r="B100" t="s">
        <v>541</v>
      </c>
      <c r="C100" t="s">
        <v>542</v>
      </c>
      <c r="D100" t="str">
        <f>Customers[[#This Row],[First name]]&amp;" "&amp;Customers[[#This Row],[Last name]]</f>
        <v>Marisa McCullough</v>
      </c>
      <c r="E100" t="s">
        <v>462</v>
      </c>
      <c r="F100" t="s">
        <v>66</v>
      </c>
      <c r="G100" t="s">
        <v>247</v>
      </c>
      <c r="H100" t="s">
        <v>248</v>
      </c>
      <c r="I100">
        <v>34512</v>
      </c>
      <c r="J100" t="s">
        <v>543</v>
      </c>
      <c r="K100" t="s">
        <v>263</v>
      </c>
      <c r="L100" t="s">
        <v>275</v>
      </c>
      <c r="M100" t="s">
        <v>259</v>
      </c>
    </row>
    <row r="101" spans="1:13" x14ac:dyDescent="0.45">
      <c r="A101">
        <v>22912</v>
      </c>
      <c r="B101" t="s">
        <v>544</v>
      </c>
      <c r="C101" t="s">
        <v>545</v>
      </c>
      <c r="D101" t="str">
        <f>Customers[[#This Row],[First name]]&amp;" "&amp;Customers[[#This Row],[Last name]]</f>
        <v>Stewart Frizzell</v>
      </c>
      <c r="E101" t="s">
        <v>449</v>
      </c>
      <c r="F101" t="s">
        <v>98</v>
      </c>
      <c r="G101" t="s">
        <v>247</v>
      </c>
      <c r="H101" t="s">
        <v>248</v>
      </c>
      <c r="I101">
        <v>56984</v>
      </c>
      <c r="J101" t="s">
        <v>450</v>
      </c>
      <c r="K101" t="s">
        <v>250</v>
      </c>
      <c r="L101" t="s">
        <v>275</v>
      </c>
      <c r="M101" t="s">
        <v>259</v>
      </c>
    </row>
    <row r="102" spans="1:13" x14ac:dyDescent="0.45">
      <c r="A102">
        <v>23133</v>
      </c>
      <c r="B102" t="s">
        <v>546</v>
      </c>
      <c r="C102" t="s">
        <v>547</v>
      </c>
      <c r="D102" t="str">
        <f>Customers[[#This Row],[First name]]&amp;" "&amp;Customers[[#This Row],[Last name]]</f>
        <v>Danielle  Panetier</v>
      </c>
      <c r="E102" t="s">
        <v>407</v>
      </c>
      <c r="F102" t="s">
        <v>41</v>
      </c>
      <c r="G102" t="s">
        <v>247</v>
      </c>
      <c r="H102" t="s">
        <v>248</v>
      </c>
      <c r="I102">
        <v>55778</v>
      </c>
      <c r="J102" t="s">
        <v>548</v>
      </c>
      <c r="K102" t="s">
        <v>250</v>
      </c>
      <c r="L102" t="s">
        <v>258</v>
      </c>
      <c r="M102" t="s">
        <v>259</v>
      </c>
    </row>
    <row r="103" spans="1:13" x14ac:dyDescent="0.45">
      <c r="A103">
        <v>23211</v>
      </c>
      <c r="B103" t="s">
        <v>549</v>
      </c>
      <c r="C103" t="s">
        <v>550</v>
      </c>
      <c r="D103" t="str">
        <f>Customers[[#This Row],[First name]]&amp;" "&amp;Customers[[#This Row],[Last name]]</f>
        <v>Tami Alvarado</v>
      </c>
      <c r="E103" t="s">
        <v>309</v>
      </c>
      <c r="F103" t="s">
        <v>51</v>
      </c>
      <c r="G103" t="s">
        <v>247</v>
      </c>
      <c r="H103" t="s">
        <v>248</v>
      </c>
      <c r="I103">
        <v>98107</v>
      </c>
      <c r="J103" t="s">
        <v>299</v>
      </c>
      <c r="K103" t="s">
        <v>250</v>
      </c>
      <c r="L103" t="s">
        <v>251</v>
      </c>
      <c r="M103" t="s">
        <v>551</v>
      </c>
    </row>
    <row r="104" spans="1:13" x14ac:dyDescent="0.45">
      <c r="A104">
        <v>23361</v>
      </c>
      <c r="B104" t="s">
        <v>552</v>
      </c>
      <c r="C104" t="s">
        <v>265</v>
      </c>
      <c r="D104" t="str">
        <f>Customers[[#This Row],[First name]]&amp;" "&amp;Customers[[#This Row],[Last name]]</f>
        <v>Wei Mai</v>
      </c>
      <c r="E104" t="s">
        <v>291</v>
      </c>
      <c r="F104" t="s">
        <v>41</v>
      </c>
      <c r="G104" t="s">
        <v>247</v>
      </c>
      <c r="H104" t="s">
        <v>248</v>
      </c>
      <c r="I104">
        <v>67435</v>
      </c>
      <c r="J104" t="s">
        <v>553</v>
      </c>
      <c r="K104" t="s">
        <v>263</v>
      </c>
      <c r="L104" t="s">
        <v>251</v>
      </c>
      <c r="M104" t="s">
        <v>337</v>
      </c>
    </row>
    <row r="105" spans="1:13" x14ac:dyDescent="0.45">
      <c r="A105">
        <v>23448</v>
      </c>
      <c r="B105" t="s">
        <v>554</v>
      </c>
      <c r="C105" t="s">
        <v>555</v>
      </c>
      <c r="D105" t="str">
        <f>Customers[[#This Row],[First name]]&amp;" "&amp;Customers[[#This Row],[Last name]]</f>
        <v>Carmelo Foret</v>
      </c>
      <c r="E105" t="s">
        <v>270</v>
      </c>
      <c r="F105" t="s">
        <v>56</v>
      </c>
      <c r="G105" t="s">
        <v>287</v>
      </c>
      <c r="H105" t="s">
        <v>248</v>
      </c>
      <c r="I105">
        <v>23438</v>
      </c>
      <c r="J105" t="s">
        <v>419</v>
      </c>
      <c r="K105" t="s">
        <v>250</v>
      </c>
      <c r="L105" t="s">
        <v>258</v>
      </c>
      <c r="M105" t="s">
        <v>259</v>
      </c>
    </row>
    <row r="106" spans="1:13" x14ac:dyDescent="0.45">
      <c r="A106">
        <v>23450</v>
      </c>
      <c r="B106" t="s">
        <v>556</v>
      </c>
      <c r="C106" t="s">
        <v>557</v>
      </c>
      <c r="D106" t="str">
        <f>Customers[[#This Row],[First name]]&amp;" "&amp;Customers[[#This Row],[Last name]]</f>
        <v>Munira Abrego</v>
      </c>
      <c r="E106" t="s">
        <v>270</v>
      </c>
      <c r="F106" t="s">
        <v>51</v>
      </c>
      <c r="G106" t="s">
        <v>247</v>
      </c>
      <c r="H106" t="s">
        <v>248</v>
      </c>
      <c r="I106">
        <v>88204</v>
      </c>
      <c r="J106" t="s">
        <v>524</v>
      </c>
      <c r="K106" t="s">
        <v>257</v>
      </c>
      <c r="L106" t="s">
        <v>258</v>
      </c>
      <c r="M106" t="s">
        <v>259</v>
      </c>
    </row>
    <row r="107" spans="1:13" x14ac:dyDescent="0.45">
      <c r="A107">
        <v>23455</v>
      </c>
      <c r="B107" t="s">
        <v>558</v>
      </c>
      <c r="C107" t="s">
        <v>559</v>
      </c>
      <c r="D107" t="str">
        <f>Customers[[#This Row],[First name]]&amp;" "&amp;Customers[[#This Row],[Last name]]</f>
        <v>Molly Romero</v>
      </c>
      <c r="E107" t="s">
        <v>320</v>
      </c>
      <c r="F107" t="s">
        <v>46</v>
      </c>
      <c r="G107" t="s">
        <v>351</v>
      </c>
      <c r="H107" t="s">
        <v>248</v>
      </c>
      <c r="I107">
        <v>23402</v>
      </c>
      <c r="J107" t="s">
        <v>373</v>
      </c>
      <c r="K107" t="s">
        <v>257</v>
      </c>
      <c r="L107" t="s">
        <v>275</v>
      </c>
      <c r="M107" t="s">
        <v>519</v>
      </c>
    </row>
    <row r="108" spans="1:13" x14ac:dyDescent="0.45">
      <c r="A108">
        <v>23531</v>
      </c>
      <c r="B108" t="s">
        <v>560</v>
      </c>
      <c r="C108" t="s">
        <v>561</v>
      </c>
      <c r="D108" t="str">
        <f>Customers[[#This Row],[First name]]&amp;" "&amp;Customers[[#This Row],[Last name]]</f>
        <v>Luc Chauvin</v>
      </c>
      <c r="E108" t="s">
        <v>407</v>
      </c>
      <c r="F108" t="s">
        <v>49</v>
      </c>
      <c r="G108" t="s">
        <v>247</v>
      </c>
      <c r="H108" t="s">
        <v>248</v>
      </c>
      <c r="I108">
        <v>10001</v>
      </c>
      <c r="J108" t="s">
        <v>562</v>
      </c>
      <c r="K108" t="s">
        <v>257</v>
      </c>
      <c r="L108" t="s">
        <v>258</v>
      </c>
      <c r="M108" t="s">
        <v>259</v>
      </c>
    </row>
    <row r="109" spans="1:13" x14ac:dyDescent="0.45">
      <c r="A109">
        <v>23585</v>
      </c>
      <c r="B109" t="s">
        <v>563</v>
      </c>
      <c r="C109" t="s">
        <v>301</v>
      </c>
      <c r="D109" t="str">
        <f>Customers[[#This Row],[First name]]&amp;" "&amp;Customers[[#This Row],[Last name]]</f>
        <v>Taqwaa Samaha</v>
      </c>
      <c r="E109" t="s">
        <v>270</v>
      </c>
      <c r="F109" t="s">
        <v>63</v>
      </c>
      <c r="G109" t="s">
        <v>247</v>
      </c>
      <c r="H109" t="s">
        <v>248</v>
      </c>
      <c r="I109">
        <v>97202</v>
      </c>
      <c r="J109" t="s">
        <v>355</v>
      </c>
      <c r="K109" t="s">
        <v>257</v>
      </c>
      <c r="L109" t="s">
        <v>275</v>
      </c>
      <c r="M109" t="s">
        <v>259</v>
      </c>
    </row>
    <row r="110" spans="1:13" x14ac:dyDescent="0.45">
      <c r="A110">
        <v>23607</v>
      </c>
      <c r="B110" t="s">
        <v>564</v>
      </c>
      <c r="C110" t="s">
        <v>565</v>
      </c>
      <c r="D110" t="str">
        <f>Customers[[#This Row],[First name]]&amp;" "&amp;Customers[[#This Row],[Last name]]</f>
        <v>Charline Varieur</v>
      </c>
      <c r="E110" t="s">
        <v>364</v>
      </c>
      <c r="F110" t="s">
        <v>46</v>
      </c>
      <c r="G110" t="s">
        <v>351</v>
      </c>
      <c r="H110" t="s">
        <v>248</v>
      </c>
      <c r="I110">
        <v>55778</v>
      </c>
      <c r="J110" t="s">
        <v>473</v>
      </c>
      <c r="K110" t="s">
        <v>263</v>
      </c>
      <c r="L110" t="s">
        <v>275</v>
      </c>
      <c r="M110" t="s">
        <v>337</v>
      </c>
    </row>
    <row r="111" spans="1:13" x14ac:dyDescent="0.45">
      <c r="A111">
        <v>23687</v>
      </c>
      <c r="B111" t="s">
        <v>566</v>
      </c>
      <c r="C111" t="s">
        <v>567</v>
      </c>
      <c r="D111" t="str">
        <f>Customers[[#This Row],[First name]]&amp;" "&amp;Customers[[#This Row],[Last name]]</f>
        <v>Li Cao</v>
      </c>
      <c r="E111" t="s">
        <v>298</v>
      </c>
      <c r="F111" t="s">
        <v>78</v>
      </c>
      <c r="G111" t="s">
        <v>247</v>
      </c>
      <c r="H111" t="s">
        <v>248</v>
      </c>
      <c r="I111">
        <v>55778</v>
      </c>
      <c r="J111" t="s">
        <v>299</v>
      </c>
      <c r="K111" t="s">
        <v>250</v>
      </c>
      <c r="L111" t="s">
        <v>275</v>
      </c>
      <c r="M111" t="s">
        <v>314</v>
      </c>
    </row>
    <row r="112" spans="1:13" x14ac:dyDescent="0.45">
      <c r="A112">
        <v>23827</v>
      </c>
      <c r="B112" t="s">
        <v>568</v>
      </c>
      <c r="C112" t="s">
        <v>261</v>
      </c>
      <c r="D112" t="str">
        <f>Customers[[#This Row],[First name]]&amp;" "&amp;Customers[[#This Row],[Last name]]</f>
        <v>Nihad Homsi</v>
      </c>
      <c r="E112" t="s">
        <v>282</v>
      </c>
      <c r="F112" t="s">
        <v>78</v>
      </c>
      <c r="G112" t="s">
        <v>247</v>
      </c>
      <c r="H112" t="s">
        <v>248</v>
      </c>
      <c r="I112">
        <v>11215</v>
      </c>
      <c r="J112" t="s">
        <v>279</v>
      </c>
      <c r="K112" t="s">
        <v>250</v>
      </c>
      <c r="L112" t="s">
        <v>275</v>
      </c>
      <c r="M112" t="s">
        <v>259</v>
      </c>
    </row>
    <row r="113" spans="1:13" x14ac:dyDescent="0.45">
      <c r="A113">
        <v>24142</v>
      </c>
      <c r="B113" t="s">
        <v>569</v>
      </c>
      <c r="C113" t="s">
        <v>570</v>
      </c>
      <c r="D113" t="str">
        <f>Customers[[#This Row],[First name]]&amp;" "&amp;Customers[[#This Row],[Last name]]</f>
        <v>Yue Ying Lin</v>
      </c>
      <c r="E113" t="s">
        <v>278</v>
      </c>
      <c r="F113" t="s">
        <v>88</v>
      </c>
      <c r="G113" t="s">
        <v>247</v>
      </c>
      <c r="H113" t="s">
        <v>248</v>
      </c>
      <c r="I113">
        <v>94610</v>
      </c>
      <c r="J113" t="s">
        <v>571</v>
      </c>
      <c r="K113" t="s">
        <v>257</v>
      </c>
      <c r="L113" t="s">
        <v>258</v>
      </c>
      <c r="M113" t="s">
        <v>506</v>
      </c>
    </row>
    <row r="114" spans="1:13" x14ac:dyDescent="0.45">
      <c r="A114">
        <v>24302</v>
      </c>
      <c r="B114" t="s">
        <v>572</v>
      </c>
      <c r="C114" t="s">
        <v>573</v>
      </c>
      <c r="D114" t="str">
        <f>Customers[[#This Row],[First name]]&amp;" "&amp;Customers[[#This Row],[Last name]]</f>
        <v>Eisa Boutros</v>
      </c>
      <c r="E114" t="s">
        <v>332</v>
      </c>
      <c r="F114" t="s">
        <v>43</v>
      </c>
      <c r="G114" t="s">
        <v>247</v>
      </c>
      <c r="H114" t="s">
        <v>248</v>
      </c>
      <c r="I114">
        <v>67435</v>
      </c>
      <c r="J114" t="s">
        <v>373</v>
      </c>
      <c r="K114" t="s">
        <v>250</v>
      </c>
      <c r="L114" t="s">
        <v>258</v>
      </c>
      <c r="M114" t="s">
        <v>259</v>
      </c>
    </row>
    <row r="115" spans="1:13" x14ac:dyDescent="0.45">
      <c r="A115">
        <v>24461</v>
      </c>
      <c r="B115" t="s">
        <v>574</v>
      </c>
      <c r="C115" t="s">
        <v>575</v>
      </c>
      <c r="D115" t="str">
        <f>Customers[[#This Row],[First name]]&amp;" "&amp;Customers[[#This Row],[Last name]]</f>
        <v>Alba Sutton</v>
      </c>
      <c r="E115" t="s">
        <v>390</v>
      </c>
      <c r="F115" t="s">
        <v>51</v>
      </c>
      <c r="G115" t="s">
        <v>247</v>
      </c>
      <c r="H115" t="s">
        <v>248</v>
      </c>
      <c r="I115">
        <v>97202</v>
      </c>
      <c r="J115" t="s">
        <v>576</v>
      </c>
      <c r="K115" t="s">
        <v>257</v>
      </c>
      <c r="L115" t="s">
        <v>275</v>
      </c>
      <c r="M115" t="s">
        <v>259</v>
      </c>
    </row>
    <row r="116" spans="1:13" x14ac:dyDescent="0.45">
      <c r="A116">
        <v>24537</v>
      </c>
      <c r="B116" t="s">
        <v>577</v>
      </c>
      <c r="C116" t="s">
        <v>578</v>
      </c>
      <c r="D116" t="str">
        <f>Customers[[#This Row],[First name]]&amp;" "&amp;Customers[[#This Row],[Last name]]</f>
        <v>Ju Xu</v>
      </c>
      <c r="E116" t="s">
        <v>347</v>
      </c>
      <c r="F116" t="s">
        <v>66</v>
      </c>
      <c r="G116" t="s">
        <v>247</v>
      </c>
      <c r="H116" t="s">
        <v>248</v>
      </c>
      <c r="I116">
        <v>88204</v>
      </c>
      <c r="J116" t="s">
        <v>579</v>
      </c>
      <c r="K116" t="s">
        <v>263</v>
      </c>
      <c r="L116" t="s">
        <v>251</v>
      </c>
      <c r="M116" t="s">
        <v>259</v>
      </c>
    </row>
    <row r="117" spans="1:13" x14ac:dyDescent="0.45">
      <c r="A117">
        <v>24735</v>
      </c>
      <c r="B117" t="s">
        <v>501</v>
      </c>
      <c r="C117" t="s">
        <v>580</v>
      </c>
      <c r="D117" t="str">
        <f>Customers[[#This Row],[First name]]&amp;" "&amp;Customers[[#This Row],[Last name]]</f>
        <v>Philippe Paulet</v>
      </c>
      <c r="E117" t="s">
        <v>291</v>
      </c>
      <c r="F117" t="s">
        <v>54</v>
      </c>
      <c r="G117" t="s">
        <v>287</v>
      </c>
      <c r="H117" t="s">
        <v>248</v>
      </c>
      <c r="I117">
        <v>10001</v>
      </c>
      <c r="J117" t="s">
        <v>295</v>
      </c>
      <c r="K117" t="s">
        <v>250</v>
      </c>
      <c r="L117" t="s">
        <v>275</v>
      </c>
      <c r="M117" t="s">
        <v>252</v>
      </c>
    </row>
    <row r="118" spans="1:13" x14ac:dyDescent="0.45">
      <c r="A118">
        <v>24924</v>
      </c>
      <c r="B118" t="s">
        <v>581</v>
      </c>
      <c r="C118" t="s">
        <v>582</v>
      </c>
      <c r="D118" t="str">
        <f>Customers[[#This Row],[First name]]&amp;" "&amp;Customers[[#This Row],[Last name]]</f>
        <v>Christian Saucier</v>
      </c>
      <c r="E118" t="s">
        <v>435</v>
      </c>
      <c r="F118" t="s">
        <v>63</v>
      </c>
      <c r="G118" t="s">
        <v>247</v>
      </c>
      <c r="H118" t="s">
        <v>248</v>
      </c>
      <c r="I118">
        <v>67435</v>
      </c>
      <c r="J118" t="s">
        <v>271</v>
      </c>
      <c r="K118" t="s">
        <v>257</v>
      </c>
      <c r="L118" t="s">
        <v>251</v>
      </c>
      <c r="M118" t="s">
        <v>259</v>
      </c>
    </row>
    <row r="119" spans="1:13" x14ac:dyDescent="0.45">
      <c r="A119">
        <v>24926</v>
      </c>
      <c r="B119" t="s">
        <v>583</v>
      </c>
      <c r="C119" t="s">
        <v>584</v>
      </c>
      <c r="D119" t="str">
        <f>Customers[[#This Row],[First name]]&amp;" "&amp;Customers[[#This Row],[Last name]]</f>
        <v>Yan Yan Tang</v>
      </c>
      <c r="E119" t="s">
        <v>246</v>
      </c>
      <c r="F119" t="s">
        <v>92</v>
      </c>
      <c r="G119" t="s">
        <v>247</v>
      </c>
      <c r="H119" t="s">
        <v>248</v>
      </c>
      <c r="I119">
        <v>23402</v>
      </c>
      <c r="J119" t="s">
        <v>585</v>
      </c>
      <c r="K119" t="s">
        <v>250</v>
      </c>
      <c r="L119" t="s">
        <v>275</v>
      </c>
      <c r="M119" t="s">
        <v>259</v>
      </c>
    </row>
    <row r="120" spans="1:13" x14ac:dyDescent="0.45">
      <c r="A120">
        <v>24952</v>
      </c>
      <c r="B120" t="s">
        <v>586</v>
      </c>
      <c r="C120" t="s">
        <v>587</v>
      </c>
      <c r="D120" t="str">
        <f>Customers[[#This Row],[First name]]&amp;" "&amp;Customers[[#This Row],[Last name]]</f>
        <v>Michael Yin</v>
      </c>
      <c r="E120" t="s">
        <v>286</v>
      </c>
      <c r="F120" t="s">
        <v>56</v>
      </c>
      <c r="G120" t="s">
        <v>287</v>
      </c>
      <c r="H120" t="s">
        <v>248</v>
      </c>
      <c r="I120">
        <v>23402</v>
      </c>
      <c r="J120" t="s">
        <v>588</v>
      </c>
      <c r="K120" t="s">
        <v>257</v>
      </c>
      <c r="L120" t="s">
        <v>275</v>
      </c>
      <c r="M120" t="s">
        <v>259</v>
      </c>
    </row>
    <row r="121" spans="1:13" x14ac:dyDescent="0.45">
      <c r="A121">
        <v>25168</v>
      </c>
      <c r="B121" t="s">
        <v>589</v>
      </c>
      <c r="C121" t="s">
        <v>590</v>
      </c>
      <c r="D121" t="str">
        <f>Customers[[#This Row],[First name]]&amp;" "&amp;Customers[[#This Row],[Last name]]</f>
        <v>Harriet Finch</v>
      </c>
      <c r="E121" t="s">
        <v>360</v>
      </c>
      <c r="F121" t="s">
        <v>145</v>
      </c>
      <c r="G121" t="s">
        <v>247</v>
      </c>
      <c r="H121" t="s">
        <v>248</v>
      </c>
      <c r="I121">
        <v>67435</v>
      </c>
      <c r="J121" t="s">
        <v>591</v>
      </c>
      <c r="K121" t="s">
        <v>263</v>
      </c>
      <c r="L121" t="s">
        <v>251</v>
      </c>
      <c r="M121" t="s">
        <v>259</v>
      </c>
    </row>
    <row r="122" spans="1:13" x14ac:dyDescent="0.45">
      <c r="A122">
        <v>25226</v>
      </c>
      <c r="B122" t="s">
        <v>592</v>
      </c>
      <c r="C122" t="s">
        <v>593</v>
      </c>
      <c r="D122" t="str">
        <f>Customers[[#This Row],[First name]]&amp;" "&amp;Customers[[#This Row],[Last name]]</f>
        <v>Gerard Masse</v>
      </c>
      <c r="E122" t="s">
        <v>305</v>
      </c>
      <c r="F122" t="s">
        <v>96</v>
      </c>
      <c r="G122" t="s">
        <v>247</v>
      </c>
      <c r="H122" t="s">
        <v>248</v>
      </c>
      <c r="I122">
        <v>56984</v>
      </c>
      <c r="J122" t="s">
        <v>383</v>
      </c>
      <c r="K122" t="s">
        <v>257</v>
      </c>
      <c r="L122" t="s">
        <v>275</v>
      </c>
      <c r="M122" t="s">
        <v>259</v>
      </c>
    </row>
    <row r="123" spans="1:13" x14ac:dyDescent="0.45">
      <c r="A123">
        <v>25329</v>
      </c>
      <c r="B123" t="s">
        <v>594</v>
      </c>
      <c r="C123" t="s">
        <v>595</v>
      </c>
      <c r="D123" t="str">
        <f>Customers[[#This Row],[First name]]&amp;" "&amp;Customers[[#This Row],[Last name]]</f>
        <v>Jenna Hanania</v>
      </c>
      <c r="E123" t="s">
        <v>326</v>
      </c>
      <c r="F123" t="s">
        <v>92</v>
      </c>
      <c r="G123" t="s">
        <v>247</v>
      </c>
      <c r="H123" t="s">
        <v>248</v>
      </c>
      <c r="I123">
        <v>11215</v>
      </c>
      <c r="J123" t="s">
        <v>405</v>
      </c>
      <c r="K123" t="s">
        <v>257</v>
      </c>
      <c r="L123" t="s">
        <v>275</v>
      </c>
      <c r="M123" t="s">
        <v>259</v>
      </c>
    </row>
    <row r="124" spans="1:13" x14ac:dyDescent="0.45">
      <c r="A124">
        <v>25355</v>
      </c>
      <c r="B124" t="s">
        <v>596</v>
      </c>
      <c r="C124" t="s">
        <v>597</v>
      </c>
      <c r="D124" t="str">
        <f>Customers[[#This Row],[First name]]&amp;" "&amp;Customers[[#This Row],[Last name]]</f>
        <v>Miles McDaniel</v>
      </c>
      <c r="E124" t="s">
        <v>332</v>
      </c>
      <c r="F124" t="s">
        <v>98</v>
      </c>
      <c r="G124" t="s">
        <v>247</v>
      </c>
      <c r="H124" t="s">
        <v>248</v>
      </c>
      <c r="I124">
        <v>23438</v>
      </c>
      <c r="J124" t="s">
        <v>598</v>
      </c>
      <c r="K124" t="s">
        <v>250</v>
      </c>
      <c r="L124" t="s">
        <v>251</v>
      </c>
      <c r="M124" t="s">
        <v>259</v>
      </c>
    </row>
    <row r="125" spans="1:13" x14ac:dyDescent="0.45">
      <c r="A125">
        <v>25511</v>
      </c>
      <c r="B125" t="s">
        <v>599</v>
      </c>
      <c r="C125" t="s">
        <v>521</v>
      </c>
      <c r="D125" t="str">
        <f>Customers[[#This Row],[First name]]&amp;" "&amp;Customers[[#This Row],[Last name]]</f>
        <v>Maurice Charron</v>
      </c>
      <c r="E125" t="s">
        <v>347</v>
      </c>
      <c r="F125" t="s">
        <v>43</v>
      </c>
      <c r="G125" t="s">
        <v>247</v>
      </c>
      <c r="H125" t="s">
        <v>248</v>
      </c>
      <c r="I125">
        <v>23438</v>
      </c>
      <c r="J125" t="s">
        <v>579</v>
      </c>
      <c r="K125" t="s">
        <v>250</v>
      </c>
      <c r="L125" t="s">
        <v>275</v>
      </c>
      <c r="M125" t="s">
        <v>551</v>
      </c>
    </row>
    <row r="126" spans="1:13" x14ac:dyDescent="0.45">
      <c r="A126">
        <v>25523</v>
      </c>
      <c r="B126" t="s">
        <v>600</v>
      </c>
      <c r="C126" t="s">
        <v>601</v>
      </c>
      <c r="D126" t="str">
        <f>Customers[[#This Row],[First name]]&amp;" "&amp;Customers[[#This Row],[Last name]]</f>
        <v>Horace Summerlin</v>
      </c>
      <c r="E126" t="s">
        <v>298</v>
      </c>
      <c r="F126" t="s">
        <v>51</v>
      </c>
      <c r="G126" t="s">
        <v>247</v>
      </c>
      <c r="H126" t="s">
        <v>248</v>
      </c>
      <c r="I126">
        <v>23438</v>
      </c>
      <c r="J126" t="s">
        <v>460</v>
      </c>
      <c r="K126" t="s">
        <v>250</v>
      </c>
      <c r="L126" t="s">
        <v>258</v>
      </c>
      <c r="M126" t="s">
        <v>259</v>
      </c>
    </row>
    <row r="127" spans="1:13" x14ac:dyDescent="0.45">
      <c r="A127">
        <v>25764</v>
      </c>
      <c r="B127" t="s">
        <v>602</v>
      </c>
      <c r="C127" t="s">
        <v>603</v>
      </c>
      <c r="D127" t="str">
        <f>Customers[[#This Row],[First name]]&amp;" "&amp;Customers[[#This Row],[Last name]]</f>
        <v>Marcos Serna</v>
      </c>
      <c r="E127" t="s">
        <v>411</v>
      </c>
      <c r="F127" t="s">
        <v>84</v>
      </c>
      <c r="G127" t="s">
        <v>247</v>
      </c>
      <c r="H127" t="s">
        <v>248</v>
      </c>
      <c r="I127">
        <v>67839</v>
      </c>
      <c r="J127" t="s">
        <v>571</v>
      </c>
      <c r="K127" t="s">
        <v>250</v>
      </c>
      <c r="L127" t="s">
        <v>251</v>
      </c>
      <c r="M127" t="s">
        <v>259</v>
      </c>
    </row>
    <row r="128" spans="1:13" x14ac:dyDescent="0.45">
      <c r="A128">
        <v>25772</v>
      </c>
      <c r="B128" t="s">
        <v>406</v>
      </c>
      <c r="C128" t="s">
        <v>604</v>
      </c>
      <c r="D128" t="str">
        <f>Customers[[#This Row],[First name]]&amp;" "&amp;Customers[[#This Row],[Last name]]</f>
        <v>Yi Min Lu</v>
      </c>
      <c r="E128" t="s">
        <v>255</v>
      </c>
      <c r="F128" t="s">
        <v>96</v>
      </c>
      <c r="G128" t="s">
        <v>247</v>
      </c>
      <c r="H128" t="s">
        <v>248</v>
      </c>
      <c r="I128">
        <v>67435</v>
      </c>
      <c r="J128" t="s">
        <v>267</v>
      </c>
      <c r="K128" t="s">
        <v>263</v>
      </c>
      <c r="L128" t="s">
        <v>275</v>
      </c>
      <c r="M128" t="s">
        <v>259</v>
      </c>
    </row>
    <row r="129" spans="1:13" x14ac:dyDescent="0.45">
      <c r="A129">
        <v>25929</v>
      </c>
      <c r="B129" t="s">
        <v>353</v>
      </c>
      <c r="C129" t="s">
        <v>605</v>
      </c>
      <c r="D129" t="str">
        <f>Customers[[#This Row],[First name]]&amp;" "&amp;Customers[[#This Row],[Last name]]</f>
        <v>Hafsa Dallah</v>
      </c>
      <c r="E129" t="s">
        <v>286</v>
      </c>
      <c r="F129" t="s">
        <v>66</v>
      </c>
      <c r="G129" t="s">
        <v>247</v>
      </c>
      <c r="H129" t="s">
        <v>248</v>
      </c>
      <c r="I129">
        <v>97202</v>
      </c>
      <c r="J129" t="s">
        <v>606</v>
      </c>
      <c r="K129" t="s">
        <v>257</v>
      </c>
      <c r="L129" t="s">
        <v>275</v>
      </c>
      <c r="M129" t="s">
        <v>252</v>
      </c>
    </row>
    <row r="130" spans="1:13" x14ac:dyDescent="0.45">
      <c r="A130">
        <v>25940</v>
      </c>
      <c r="B130" t="s">
        <v>607</v>
      </c>
      <c r="C130" t="s">
        <v>608</v>
      </c>
      <c r="D130" t="str">
        <f>Customers[[#This Row],[First name]]&amp;" "&amp;Customers[[#This Row],[Last name]]</f>
        <v>Douglas Townes</v>
      </c>
      <c r="E130" t="s">
        <v>286</v>
      </c>
      <c r="F130" t="s">
        <v>84</v>
      </c>
      <c r="G130" t="s">
        <v>247</v>
      </c>
      <c r="H130" t="s">
        <v>248</v>
      </c>
      <c r="I130">
        <v>88204</v>
      </c>
      <c r="J130" t="s">
        <v>476</v>
      </c>
      <c r="K130" t="s">
        <v>250</v>
      </c>
      <c r="L130" t="s">
        <v>258</v>
      </c>
      <c r="M130" t="s">
        <v>259</v>
      </c>
    </row>
    <row r="131" spans="1:13" x14ac:dyDescent="0.45">
      <c r="A131">
        <v>26018</v>
      </c>
      <c r="B131" t="s">
        <v>609</v>
      </c>
      <c r="C131" t="s">
        <v>610</v>
      </c>
      <c r="D131" t="str">
        <f>Customers[[#This Row],[First name]]&amp;" "&amp;Customers[[#This Row],[Last name]]</f>
        <v>Helene Rocher</v>
      </c>
      <c r="E131" t="s">
        <v>282</v>
      </c>
      <c r="F131" t="s">
        <v>63</v>
      </c>
      <c r="G131" t="s">
        <v>247</v>
      </c>
      <c r="H131" t="s">
        <v>248</v>
      </c>
      <c r="I131">
        <v>34512</v>
      </c>
      <c r="J131" t="s">
        <v>463</v>
      </c>
      <c r="K131" t="s">
        <v>257</v>
      </c>
      <c r="L131" t="s">
        <v>251</v>
      </c>
      <c r="M131" t="s">
        <v>259</v>
      </c>
    </row>
    <row r="132" spans="1:13" x14ac:dyDescent="0.45">
      <c r="A132">
        <v>26269</v>
      </c>
      <c r="B132" t="s">
        <v>611</v>
      </c>
      <c r="C132" t="s">
        <v>612</v>
      </c>
      <c r="D132" t="str">
        <f>Customers[[#This Row],[First name]]&amp;" "&amp;Customers[[#This Row],[Last name]]</f>
        <v>Antonio Castaneda</v>
      </c>
      <c r="E132" t="s">
        <v>462</v>
      </c>
      <c r="F132" t="s">
        <v>96</v>
      </c>
      <c r="G132" t="s">
        <v>247</v>
      </c>
      <c r="H132" t="s">
        <v>248</v>
      </c>
      <c r="I132">
        <v>94568</v>
      </c>
      <c r="J132" t="s">
        <v>511</v>
      </c>
      <c r="K132" t="s">
        <v>250</v>
      </c>
      <c r="L132" t="s">
        <v>275</v>
      </c>
      <c r="M132" t="s">
        <v>259</v>
      </c>
    </row>
    <row r="133" spans="1:13" x14ac:dyDescent="0.45">
      <c r="A133">
        <v>26350</v>
      </c>
      <c r="B133" t="s">
        <v>613</v>
      </c>
      <c r="C133" t="s">
        <v>614</v>
      </c>
      <c r="D133" t="str">
        <f>Customers[[#This Row],[First name]]&amp;" "&amp;Customers[[#This Row],[Last name]]</f>
        <v>Josephine  Grondin</v>
      </c>
      <c r="E133" t="s">
        <v>462</v>
      </c>
      <c r="F133" t="s">
        <v>84</v>
      </c>
      <c r="G133" t="s">
        <v>247</v>
      </c>
      <c r="H133" t="s">
        <v>248</v>
      </c>
      <c r="I133">
        <v>55778</v>
      </c>
      <c r="J133" t="s">
        <v>361</v>
      </c>
      <c r="K133" t="s">
        <v>257</v>
      </c>
      <c r="L133" t="s">
        <v>258</v>
      </c>
      <c r="M133" t="s">
        <v>259</v>
      </c>
    </row>
    <row r="134" spans="1:13" x14ac:dyDescent="0.45">
      <c r="A134">
        <v>26500</v>
      </c>
      <c r="B134" t="s">
        <v>615</v>
      </c>
      <c r="C134" t="s">
        <v>290</v>
      </c>
      <c r="D134" t="str">
        <f>Customers[[#This Row],[First name]]&amp;" "&amp;Customers[[#This Row],[Last name]]</f>
        <v>Blaise Margand</v>
      </c>
      <c r="E134" t="s">
        <v>449</v>
      </c>
      <c r="F134" t="s">
        <v>84</v>
      </c>
      <c r="G134" t="s">
        <v>247</v>
      </c>
      <c r="H134" t="s">
        <v>248</v>
      </c>
      <c r="I134">
        <v>56984</v>
      </c>
      <c r="J134" t="s">
        <v>387</v>
      </c>
      <c r="K134" t="s">
        <v>263</v>
      </c>
      <c r="L134" t="s">
        <v>251</v>
      </c>
      <c r="M134" t="s">
        <v>259</v>
      </c>
    </row>
    <row r="135" spans="1:13" x14ac:dyDescent="0.45">
      <c r="A135">
        <v>26510</v>
      </c>
      <c r="B135" t="s">
        <v>616</v>
      </c>
      <c r="C135" t="s">
        <v>617</v>
      </c>
      <c r="D135" t="str">
        <f>Customers[[#This Row],[First name]]&amp;" "&amp;Customers[[#This Row],[Last name]]</f>
        <v>Caresse Cartier</v>
      </c>
      <c r="E135" t="s">
        <v>309</v>
      </c>
      <c r="F135" t="s">
        <v>56</v>
      </c>
      <c r="G135" t="s">
        <v>287</v>
      </c>
      <c r="H135" t="s">
        <v>248</v>
      </c>
      <c r="I135">
        <v>34512</v>
      </c>
      <c r="J135" t="s">
        <v>249</v>
      </c>
      <c r="K135" t="s">
        <v>257</v>
      </c>
      <c r="L135" t="s">
        <v>275</v>
      </c>
      <c r="M135" t="s">
        <v>259</v>
      </c>
    </row>
    <row r="136" spans="1:13" x14ac:dyDescent="0.45">
      <c r="A136">
        <v>26512</v>
      </c>
      <c r="B136" t="s">
        <v>618</v>
      </c>
      <c r="C136" t="s">
        <v>619</v>
      </c>
      <c r="D136" t="str">
        <f>Customers[[#This Row],[First name]]&amp;" "&amp;Customers[[#This Row],[Last name]]</f>
        <v>Pramod  Mistry</v>
      </c>
      <c r="E136" t="s">
        <v>266</v>
      </c>
      <c r="F136" t="s">
        <v>41</v>
      </c>
      <c r="G136" t="s">
        <v>247</v>
      </c>
      <c r="H136" t="s">
        <v>248</v>
      </c>
      <c r="I136">
        <v>55778</v>
      </c>
      <c r="J136" t="s">
        <v>361</v>
      </c>
      <c r="K136" t="s">
        <v>250</v>
      </c>
      <c r="L136" t="s">
        <v>251</v>
      </c>
      <c r="M136" t="s">
        <v>259</v>
      </c>
    </row>
    <row r="137" spans="1:13" x14ac:dyDescent="0.45">
      <c r="A137">
        <v>26554</v>
      </c>
      <c r="B137" t="s">
        <v>372</v>
      </c>
      <c r="C137" t="s">
        <v>620</v>
      </c>
      <c r="D137" t="str">
        <f>Customers[[#This Row],[First name]]&amp;" "&amp;Customers[[#This Row],[Last name]]</f>
        <v>Fang Yin Tu</v>
      </c>
      <c r="E137" t="s">
        <v>390</v>
      </c>
      <c r="F137" t="s">
        <v>51</v>
      </c>
      <c r="G137" t="s">
        <v>247</v>
      </c>
      <c r="H137" t="s">
        <v>248</v>
      </c>
      <c r="I137">
        <v>67839</v>
      </c>
      <c r="J137" t="s">
        <v>621</v>
      </c>
      <c r="K137" t="s">
        <v>257</v>
      </c>
      <c r="L137" t="s">
        <v>258</v>
      </c>
      <c r="M137" t="s">
        <v>622</v>
      </c>
    </row>
    <row r="138" spans="1:13" x14ac:dyDescent="0.45">
      <c r="A138">
        <v>26564</v>
      </c>
      <c r="B138" t="s">
        <v>294</v>
      </c>
      <c r="C138" t="s">
        <v>566</v>
      </c>
      <c r="D138" t="str">
        <f>Customers[[#This Row],[First name]]&amp;" "&amp;Customers[[#This Row],[Last name]]</f>
        <v>Sun Li</v>
      </c>
      <c r="E138" t="s">
        <v>332</v>
      </c>
      <c r="F138" t="s">
        <v>46</v>
      </c>
      <c r="G138" t="s">
        <v>351</v>
      </c>
      <c r="H138" t="s">
        <v>248</v>
      </c>
      <c r="I138">
        <v>67435</v>
      </c>
      <c r="J138" t="s">
        <v>355</v>
      </c>
      <c r="K138" t="s">
        <v>257</v>
      </c>
      <c r="L138" t="s">
        <v>275</v>
      </c>
      <c r="M138" t="s">
        <v>259</v>
      </c>
    </row>
    <row r="139" spans="1:13" x14ac:dyDescent="0.45">
      <c r="A139">
        <v>27191</v>
      </c>
      <c r="B139" t="s">
        <v>623</v>
      </c>
      <c r="C139" t="s">
        <v>540</v>
      </c>
      <c r="D139" t="str">
        <f>Customers[[#This Row],[First name]]&amp;" "&amp;Customers[[#This Row],[Last name]]</f>
        <v>Qi Shi</v>
      </c>
      <c r="E139" t="s">
        <v>340</v>
      </c>
      <c r="F139" t="s">
        <v>38</v>
      </c>
      <c r="G139" t="s">
        <v>247</v>
      </c>
      <c r="H139" t="s">
        <v>248</v>
      </c>
      <c r="I139">
        <v>88204</v>
      </c>
      <c r="J139" t="s">
        <v>352</v>
      </c>
      <c r="K139" t="s">
        <v>250</v>
      </c>
      <c r="L139" t="s">
        <v>275</v>
      </c>
      <c r="M139" t="s">
        <v>259</v>
      </c>
    </row>
    <row r="140" spans="1:13" x14ac:dyDescent="0.45">
      <c r="A140">
        <v>27538</v>
      </c>
      <c r="B140" t="s">
        <v>624</v>
      </c>
      <c r="C140" t="s">
        <v>521</v>
      </c>
      <c r="D140" t="str">
        <f>Customers[[#This Row],[First name]]&amp;" "&amp;Customers[[#This Row],[Last name]]</f>
        <v>David Charron</v>
      </c>
      <c r="E140" t="s">
        <v>326</v>
      </c>
      <c r="F140" t="s">
        <v>38</v>
      </c>
      <c r="G140" t="s">
        <v>247</v>
      </c>
      <c r="H140" t="s">
        <v>248</v>
      </c>
      <c r="I140">
        <v>56984</v>
      </c>
      <c r="J140" t="s">
        <v>497</v>
      </c>
      <c r="K140" t="s">
        <v>250</v>
      </c>
      <c r="L140" t="s">
        <v>275</v>
      </c>
      <c r="M140" t="s">
        <v>259</v>
      </c>
    </row>
    <row r="141" spans="1:13" x14ac:dyDescent="0.45">
      <c r="A141">
        <v>27560</v>
      </c>
      <c r="B141" t="s">
        <v>625</v>
      </c>
      <c r="C141" t="s">
        <v>626</v>
      </c>
      <c r="D141" t="str">
        <f>Customers[[#This Row],[First name]]&amp;" "&amp;Customers[[#This Row],[Last name]]</f>
        <v>Cameron Hyde</v>
      </c>
      <c r="E141" t="s">
        <v>320</v>
      </c>
      <c r="F141" t="s">
        <v>43</v>
      </c>
      <c r="G141" t="s">
        <v>247</v>
      </c>
      <c r="H141" t="s">
        <v>248</v>
      </c>
      <c r="I141">
        <v>67839</v>
      </c>
      <c r="J141" t="s">
        <v>576</v>
      </c>
      <c r="K141" t="s">
        <v>250</v>
      </c>
      <c r="L141" t="s">
        <v>275</v>
      </c>
      <c r="M141" t="s">
        <v>342</v>
      </c>
    </row>
    <row r="142" spans="1:13" x14ac:dyDescent="0.45">
      <c r="A142">
        <v>27850</v>
      </c>
      <c r="B142" t="s">
        <v>627</v>
      </c>
      <c r="C142" t="s">
        <v>496</v>
      </c>
      <c r="D142" t="str">
        <f>Customers[[#This Row],[First name]]&amp;" "&amp;Customers[[#This Row],[Last name]]</f>
        <v>Andree Meilleur</v>
      </c>
      <c r="E142" t="s">
        <v>278</v>
      </c>
      <c r="F142" t="s">
        <v>38</v>
      </c>
      <c r="G142" t="s">
        <v>247</v>
      </c>
      <c r="H142" t="s">
        <v>248</v>
      </c>
      <c r="I142">
        <v>11215</v>
      </c>
      <c r="J142" t="s">
        <v>249</v>
      </c>
      <c r="K142" t="s">
        <v>250</v>
      </c>
      <c r="L142" t="s">
        <v>251</v>
      </c>
      <c r="M142" t="s">
        <v>506</v>
      </c>
    </row>
    <row r="143" spans="1:13" x14ac:dyDescent="0.45">
      <c r="A143">
        <v>27995</v>
      </c>
      <c r="B143" t="s">
        <v>540</v>
      </c>
      <c r="C143" t="s">
        <v>628</v>
      </c>
      <c r="D143" t="str">
        <f>Customers[[#This Row],[First name]]&amp;" "&amp;Customers[[#This Row],[Last name]]</f>
        <v>Shi Hu</v>
      </c>
      <c r="E143" t="s">
        <v>462</v>
      </c>
      <c r="F143" t="s">
        <v>43</v>
      </c>
      <c r="G143" t="s">
        <v>247</v>
      </c>
      <c r="H143" t="s">
        <v>248</v>
      </c>
      <c r="I143">
        <v>23402</v>
      </c>
      <c r="J143" t="s">
        <v>463</v>
      </c>
      <c r="K143" t="s">
        <v>263</v>
      </c>
      <c r="L143" t="s">
        <v>258</v>
      </c>
      <c r="M143" t="s">
        <v>259</v>
      </c>
    </row>
    <row r="144" spans="1:13" x14ac:dyDescent="0.45">
      <c r="A144">
        <v>28317</v>
      </c>
      <c r="B144" t="s">
        <v>566</v>
      </c>
      <c r="C144" t="s">
        <v>382</v>
      </c>
      <c r="D144" t="str">
        <f>Customers[[#This Row],[First name]]&amp;" "&amp;Customers[[#This Row],[Last name]]</f>
        <v>Li Long</v>
      </c>
      <c r="E144" t="s">
        <v>435</v>
      </c>
      <c r="F144" t="s">
        <v>51</v>
      </c>
      <c r="G144" t="s">
        <v>247</v>
      </c>
      <c r="H144" t="s">
        <v>248</v>
      </c>
      <c r="I144">
        <v>88204</v>
      </c>
      <c r="J144" t="s">
        <v>313</v>
      </c>
      <c r="K144" t="s">
        <v>257</v>
      </c>
      <c r="L144" t="s">
        <v>258</v>
      </c>
      <c r="M144" t="s">
        <v>259</v>
      </c>
    </row>
    <row r="145" spans="1:13" x14ac:dyDescent="0.45">
      <c r="A145">
        <v>28365</v>
      </c>
      <c r="B145" t="s">
        <v>629</v>
      </c>
      <c r="C145" t="s">
        <v>630</v>
      </c>
      <c r="D145" t="str">
        <f>Customers[[#This Row],[First name]]&amp;" "&amp;Customers[[#This Row],[Last name]]</f>
        <v>Velma Buckner</v>
      </c>
      <c r="E145" t="s">
        <v>435</v>
      </c>
      <c r="F145" t="s">
        <v>54</v>
      </c>
      <c r="G145" t="s">
        <v>287</v>
      </c>
      <c r="H145" t="s">
        <v>248</v>
      </c>
      <c r="I145">
        <v>56984</v>
      </c>
      <c r="J145" t="s">
        <v>460</v>
      </c>
      <c r="K145" t="s">
        <v>250</v>
      </c>
      <c r="L145" t="s">
        <v>275</v>
      </c>
      <c r="M145" t="s">
        <v>259</v>
      </c>
    </row>
    <row r="146" spans="1:13" x14ac:dyDescent="0.45">
      <c r="A146">
        <v>28732</v>
      </c>
      <c r="B146" t="s">
        <v>631</v>
      </c>
      <c r="C146" t="s">
        <v>632</v>
      </c>
      <c r="D146" t="str">
        <f>Customers[[#This Row],[First name]]&amp;" "&amp;Customers[[#This Row],[Last name]]</f>
        <v>Coralie Potvin</v>
      </c>
      <c r="E146" t="s">
        <v>390</v>
      </c>
      <c r="F146" t="s">
        <v>78</v>
      </c>
      <c r="G146" t="s">
        <v>247</v>
      </c>
      <c r="H146" t="s">
        <v>248</v>
      </c>
      <c r="I146">
        <v>98107</v>
      </c>
      <c r="J146" t="s">
        <v>633</v>
      </c>
      <c r="K146" t="s">
        <v>263</v>
      </c>
      <c r="L146" t="s">
        <v>275</v>
      </c>
      <c r="M146" t="s">
        <v>259</v>
      </c>
    </row>
  </sheetData>
  <sortState xmlns:xlrd2="http://schemas.microsoft.com/office/spreadsheetml/2017/richdata2" ref="A2:M146">
    <sortCondition ref="A135:A146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D7D62-DC34-4D3E-9A60-B8025B9CA4DB}">
  <dimension ref="A1:H148"/>
  <sheetViews>
    <sheetView zoomScale="70" zoomScaleNormal="70" workbookViewId="0">
      <selection activeCell="D8" sqref="D8"/>
    </sheetView>
  </sheetViews>
  <sheetFormatPr baseColWidth="10" defaultColWidth="9.06640625" defaultRowHeight="14.25" x14ac:dyDescent="0.45"/>
  <cols>
    <col min="1" max="1" width="23" customWidth="1"/>
    <col min="2" max="2" width="15.6640625" bestFit="1" customWidth="1"/>
    <col min="3" max="3" width="20.53125" customWidth="1"/>
    <col min="4" max="4" width="20.19921875" customWidth="1"/>
    <col min="5" max="5" width="24.6640625" customWidth="1"/>
    <col min="6" max="6" width="7.6640625" customWidth="1"/>
    <col min="7" max="7" width="25.6640625" customWidth="1"/>
  </cols>
  <sheetData>
    <row r="1" spans="1:8" ht="25.5" x14ac:dyDescent="0.75">
      <c r="A1" s="6" t="s">
        <v>634</v>
      </c>
      <c r="G1" s="6" t="s">
        <v>635</v>
      </c>
    </row>
    <row r="2" spans="1:8" ht="25.5" x14ac:dyDescent="0.75">
      <c r="F2" s="6"/>
    </row>
    <row r="3" spans="1:8" ht="43.15" thickBot="1" x14ac:dyDescent="0.5">
      <c r="A3" s="14" t="s">
        <v>636</v>
      </c>
      <c r="B3" s="14" t="s">
        <v>241</v>
      </c>
      <c r="C3" s="9" t="s">
        <v>637</v>
      </c>
      <c r="D3" s="9" t="s">
        <v>638</v>
      </c>
      <c r="E3" s="23" t="s">
        <v>639</v>
      </c>
      <c r="G3" s="25" t="s">
        <v>640</v>
      </c>
      <c r="H3" s="24"/>
    </row>
    <row r="4" spans="1:8" ht="14.65" thickTop="1" x14ac:dyDescent="0.45">
      <c r="A4" t="s">
        <v>132</v>
      </c>
      <c r="B4" t="s">
        <v>250</v>
      </c>
      <c r="C4" t="s">
        <v>251</v>
      </c>
    </row>
    <row r="5" spans="1:8" x14ac:dyDescent="0.45">
      <c r="A5" t="s">
        <v>131</v>
      </c>
      <c r="B5" t="s">
        <v>257</v>
      </c>
      <c r="C5" t="s">
        <v>258</v>
      </c>
    </row>
    <row r="6" spans="1:8" x14ac:dyDescent="0.45">
      <c r="A6" t="s">
        <v>128</v>
      </c>
      <c r="B6" t="s">
        <v>263</v>
      </c>
      <c r="C6" t="s">
        <v>251</v>
      </c>
    </row>
    <row r="7" spans="1:8" x14ac:dyDescent="0.45">
      <c r="A7" t="s">
        <v>149</v>
      </c>
      <c r="B7" t="s">
        <v>250</v>
      </c>
      <c r="C7" t="s">
        <v>251</v>
      </c>
    </row>
    <row r="8" spans="1:8" x14ac:dyDescent="0.45">
      <c r="A8" t="s">
        <v>155</v>
      </c>
      <c r="B8" t="s">
        <v>263</v>
      </c>
      <c r="C8" t="s">
        <v>258</v>
      </c>
    </row>
    <row r="9" spans="1:8" x14ac:dyDescent="0.45">
      <c r="A9" t="s">
        <v>207</v>
      </c>
      <c r="B9" t="s">
        <v>263</v>
      </c>
      <c r="C9" t="s">
        <v>275</v>
      </c>
    </row>
    <row r="10" spans="1:8" x14ac:dyDescent="0.45">
      <c r="A10" t="s">
        <v>100</v>
      </c>
      <c r="B10" t="s">
        <v>263</v>
      </c>
      <c r="C10" t="s">
        <v>258</v>
      </c>
    </row>
    <row r="11" spans="1:8" x14ac:dyDescent="0.45">
      <c r="A11" t="s">
        <v>48</v>
      </c>
      <c r="B11" t="s">
        <v>257</v>
      </c>
      <c r="C11" t="s">
        <v>258</v>
      </c>
    </row>
    <row r="12" spans="1:8" x14ac:dyDescent="0.45">
      <c r="A12" t="s">
        <v>157</v>
      </c>
      <c r="B12" t="s">
        <v>263</v>
      </c>
      <c r="C12" t="s">
        <v>258</v>
      </c>
    </row>
    <row r="13" spans="1:8" x14ac:dyDescent="0.45">
      <c r="A13" t="s">
        <v>166</v>
      </c>
      <c r="B13" t="s">
        <v>250</v>
      </c>
      <c r="C13" t="s">
        <v>275</v>
      </c>
    </row>
    <row r="14" spans="1:8" x14ac:dyDescent="0.45">
      <c r="A14" t="s">
        <v>156</v>
      </c>
      <c r="B14" t="s">
        <v>250</v>
      </c>
      <c r="C14" t="s">
        <v>275</v>
      </c>
    </row>
    <row r="15" spans="1:8" x14ac:dyDescent="0.45">
      <c r="A15" t="s">
        <v>90</v>
      </c>
      <c r="B15" t="s">
        <v>263</v>
      </c>
      <c r="C15" t="s">
        <v>251</v>
      </c>
    </row>
    <row r="16" spans="1:8" x14ac:dyDescent="0.45">
      <c r="A16" t="s">
        <v>42</v>
      </c>
      <c r="B16" t="s">
        <v>250</v>
      </c>
      <c r="C16" t="s">
        <v>258</v>
      </c>
    </row>
    <row r="17" spans="1:3" x14ac:dyDescent="0.45">
      <c r="A17" t="s">
        <v>121</v>
      </c>
      <c r="B17" t="s">
        <v>250</v>
      </c>
      <c r="C17" t="s">
        <v>258</v>
      </c>
    </row>
    <row r="18" spans="1:3" x14ac:dyDescent="0.45">
      <c r="A18" t="s">
        <v>177</v>
      </c>
      <c r="B18" t="s">
        <v>250</v>
      </c>
      <c r="C18" t="s">
        <v>251</v>
      </c>
    </row>
    <row r="19" spans="1:3" x14ac:dyDescent="0.45">
      <c r="A19" t="s">
        <v>143</v>
      </c>
      <c r="B19" t="s">
        <v>263</v>
      </c>
      <c r="C19" t="s">
        <v>258</v>
      </c>
    </row>
    <row r="20" spans="1:3" x14ac:dyDescent="0.45">
      <c r="A20" t="s">
        <v>34</v>
      </c>
      <c r="B20" t="s">
        <v>263</v>
      </c>
      <c r="C20" t="s">
        <v>275</v>
      </c>
    </row>
    <row r="21" spans="1:3" x14ac:dyDescent="0.45">
      <c r="A21" t="s">
        <v>197</v>
      </c>
      <c r="B21" t="s">
        <v>263</v>
      </c>
      <c r="C21" t="s">
        <v>275</v>
      </c>
    </row>
    <row r="22" spans="1:3" x14ac:dyDescent="0.45">
      <c r="A22" t="s">
        <v>133</v>
      </c>
      <c r="B22" t="s">
        <v>263</v>
      </c>
      <c r="C22" t="s">
        <v>275</v>
      </c>
    </row>
    <row r="23" spans="1:3" x14ac:dyDescent="0.45">
      <c r="A23" t="s">
        <v>189</v>
      </c>
      <c r="B23" t="s">
        <v>250</v>
      </c>
      <c r="C23" t="s">
        <v>275</v>
      </c>
    </row>
    <row r="24" spans="1:3" x14ac:dyDescent="0.45">
      <c r="A24" s="11" t="s">
        <v>102</v>
      </c>
      <c r="B24" t="s">
        <v>250</v>
      </c>
      <c r="C24" t="s">
        <v>258</v>
      </c>
    </row>
    <row r="25" spans="1:3" x14ac:dyDescent="0.45">
      <c r="A25" t="s">
        <v>123</v>
      </c>
      <c r="B25" t="s">
        <v>250</v>
      </c>
      <c r="C25" t="s">
        <v>275</v>
      </c>
    </row>
    <row r="26" spans="1:3" x14ac:dyDescent="0.45">
      <c r="A26" t="s">
        <v>146</v>
      </c>
      <c r="B26" t="s">
        <v>263</v>
      </c>
      <c r="C26" t="s">
        <v>275</v>
      </c>
    </row>
    <row r="27" spans="1:3" x14ac:dyDescent="0.45">
      <c r="A27" t="s">
        <v>120</v>
      </c>
      <c r="B27" t="s">
        <v>250</v>
      </c>
      <c r="C27" t="s">
        <v>258</v>
      </c>
    </row>
    <row r="28" spans="1:3" x14ac:dyDescent="0.45">
      <c r="A28" t="s">
        <v>184</v>
      </c>
      <c r="B28" t="s">
        <v>263</v>
      </c>
      <c r="C28" t="s">
        <v>258</v>
      </c>
    </row>
    <row r="29" spans="1:3" x14ac:dyDescent="0.45">
      <c r="A29" t="s">
        <v>151</v>
      </c>
      <c r="B29" t="s">
        <v>263</v>
      </c>
      <c r="C29" t="s">
        <v>275</v>
      </c>
    </row>
    <row r="30" spans="1:3" x14ac:dyDescent="0.45">
      <c r="A30" t="s">
        <v>130</v>
      </c>
      <c r="B30" t="s">
        <v>263</v>
      </c>
      <c r="C30" t="s">
        <v>275</v>
      </c>
    </row>
    <row r="31" spans="1:3" x14ac:dyDescent="0.45">
      <c r="A31" t="s">
        <v>164</v>
      </c>
      <c r="B31" t="s">
        <v>257</v>
      </c>
      <c r="C31" t="s">
        <v>251</v>
      </c>
    </row>
    <row r="32" spans="1:3" x14ac:dyDescent="0.45">
      <c r="A32" t="s">
        <v>204</v>
      </c>
      <c r="B32" t="s">
        <v>250</v>
      </c>
      <c r="C32" t="s">
        <v>251</v>
      </c>
    </row>
    <row r="33" spans="1:3" x14ac:dyDescent="0.45">
      <c r="A33" t="s">
        <v>71</v>
      </c>
      <c r="B33" t="s">
        <v>250</v>
      </c>
      <c r="C33" t="s">
        <v>251</v>
      </c>
    </row>
    <row r="34" spans="1:3" x14ac:dyDescent="0.45">
      <c r="A34" t="s">
        <v>101</v>
      </c>
      <c r="B34" t="s">
        <v>263</v>
      </c>
      <c r="C34" t="s">
        <v>275</v>
      </c>
    </row>
    <row r="35" spans="1:3" x14ac:dyDescent="0.45">
      <c r="A35" t="s">
        <v>58</v>
      </c>
      <c r="B35" t="s">
        <v>263</v>
      </c>
      <c r="C35" t="s">
        <v>251</v>
      </c>
    </row>
    <row r="36" spans="1:3" x14ac:dyDescent="0.45">
      <c r="A36" t="s">
        <v>144</v>
      </c>
      <c r="B36" t="s">
        <v>250</v>
      </c>
      <c r="C36" t="s">
        <v>258</v>
      </c>
    </row>
    <row r="37" spans="1:3" x14ac:dyDescent="0.45">
      <c r="A37" t="s">
        <v>69</v>
      </c>
      <c r="B37" t="s">
        <v>263</v>
      </c>
      <c r="C37" t="s">
        <v>258</v>
      </c>
    </row>
    <row r="38" spans="1:3" x14ac:dyDescent="0.45">
      <c r="A38" t="s">
        <v>190</v>
      </c>
      <c r="B38" t="s">
        <v>250</v>
      </c>
      <c r="C38" t="s">
        <v>251</v>
      </c>
    </row>
    <row r="39" spans="1:3" x14ac:dyDescent="0.45">
      <c r="A39" t="s">
        <v>203</v>
      </c>
      <c r="B39" t="s">
        <v>257</v>
      </c>
      <c r="C39" t="s">
        <v>275</v>
      </c>
    </row>
    <row r="40" spans="1:3" x14ac:dyDescent="0.45">
      <c r="A40" t="s">
        <v>175</v>
      </c>
      <c r="B40" t="s">
        <v>257</v>
      </c>
      <c r="C40" t="s">
        <v>251</v>
      </c>
    </row>
    <row r="41" spans="1:3" x14ac:dyDescent="0.45">
      <c r="A41" t="s">
        <v>205</v>
      </c>
      <c r="B41" t="s">
        <v>250</v>
      </c>
      <c r="C41" t="s">
        <v>258</v>
      </c>
    </row>
    <row r="42" spans="1:3" x14ac:dyDescent="0.45">
      <c r="A42" t="s">
        <v>125</v>
      </c>
      <c r="B42" t="s">
        <v>250</v>
      </c>
      <c r="C42" t="s">
        <v>251</v>
      </c>
    </row>
    <row r="43" spans="1:3" x14ac:dyDescent="0.45">
      <c r="A43" t="s">
        <v>180</v>
      </c>
      <c r="B43" t="s">
        <v>263</v>
      </c>
      <c r="C43" t="s">
        <v>258</v>
      </c>
    </row>
    <row r="44" spans="1:3" x14ac:dyDescent="0.45">
      <c r="A44" t="s">
        <v>40</v>
      </c>
      <c r="B44" t="s">
        <v>263</v>
      </c>
      <c r="C44" t="s">
        <v>258</v>
      </c>
    </row>
    <row r="45" spans="1:3" x14ac:dyDescent="0.45">
      <c r="A45" t="s">
        <v>153</v>
      </c>
      <c r="B45" t="s">
        <v>250</v>
      </c>
      <c r="C45" t="s">
        <v>275</v>
      </c>
    </row>
    <row r="46" spans="1:3" x14ac:dyDescent="0.45">
      <c r="A46" t="s">
        <v>170</v>
      </c>
      <c r="B46" t="s">
        <v>250</v>
      </c>
      <c r="C46" t="s">
        <v>258</v>
      </c>
    </row>
    <row r="47" spans="1:3" x14ac:dyDescent="0.45">
      <c r="A47" t="s">
        <v>147</v>
      </c>
      <c r="B47" t="s">
        <v>257</v>
      </c>
      <c r="C47" t="s">
        <v>275</v>
      </c>
    </row>
    <row r="48" spans="1:3" x14ac:dyDescent="0.45">
      <c r="A48" t="s">
        <v>94</v>
      </c>
      <c r="B48" t="s">
        <v>263</v>
      </c>
      <c r="C48" t="s">
        <v>258</v>
      </c>
    </row>
    <row r="49" spans="1:3" x14ac:dyDescent="0.45">
      <c r="A49" t="s">
        <v>124</v>
      </c>
      <c r="B49" t="s">
        <v>263</v>
      </c>
      <c r="C49" t="s">
        <v>275</v>
      </c>
    </row>
    <row r="50" spans="1:3" x14ac:dyDescent="0.45">
      <c r="A50" t="s">
        <v>122</v>
      </c>
      <c r="B50" t="s">
        <v>257</v>
      </c>
      <c r="C50" t="s">
        <v>275</v>
      </c>
    </row>
    <row r="51" spans="1:3" x14ac:dyDescent="0.45">
      <c r="A51" t="s">
        <v>89</v>
      </c>
      <c r="B51" t="s">
        <v>250</v>
      </c>
      <c r="C51" t="s">
        <v>258</v>
      </c>
    </row>
    <row r="52" spans="1:3" x14ac:dyDescent="0.45">
      <c r="A52" t="s">
        <v>172</v>
      </c>
      <c r="B52" t="s">
        <v>257</v>
      </c>
      <c r="C52" t="s">
        <v>258</v>
      </c>
    </row>
    <row r="53" spans="1:3" x14ac:dyDescent="0.45">
      <c r="A53" t="s">
        <v>80</v>
      </c>
      <c r="B53" t="s">
        <v>250</v>
      </c>
      <c r="C53" t="s">
        <v>258</v>
      </c>
    </row>
    <row r="54" spans="1:3" x14ac:dyDescent="0.45">
      <c r="A54" t="s">
        <v>163</v>
      </c>
      <c r="B54" t="s">
        <v>263</v>
      </c>
      <c r="C54" t="s">
        <v>258</v>
      </c>
    </row>
    <row r="55" spans="1:3" x14ac:dyDescent="0.45">
      <c r="A55" t="s">
        <v>179</v>
      </c>
      <c r="B55" t="s">
        <v>263</v>
      </c>
      <c r="C55" t="s">
        <v>275</v>
      </c>
    </row>
    <row r="56" spans="1:3" x14ac:dyDescent="0.45">
      <c r="A56" t="s">
        <v>176</v>
      </c>
      <c r="B56" t="s">
        <v>250</v>
      </c>
      <c r="C56" t="s">
        <v>258</v>
      </c>
    </row>
    <row r="57" spans="1:3" x14ac:dyDescent="0.45">
      <c r="A57" t="s">
        <v>55</v>
      </c>
      <c r="B57" t="s">
        <v>257</v>
      </c>
      <c r="C57" t="s">
        <v>258</v>
      </c>
    </row>
    <row r="58" spans="1:3" x14ac:dyDescent="0.45">
      <c r="A58" t="s">
        <v>148</v>
      </c>
      <c r="B58" t="s">
        <v>250</v>
      </c>
      <c r="C58" t="s">
        <v>275</v>
      </c>
    </row>
    <row r="59" spans="1:3" x14ac:dyDescent="0.45">
      <c r="A59" t="s">
        <v>159</v>
      </c>
      <c r="B59" t="s">
        <v>263</v>
      </c>
      <c r="C59" t="s">
        <v>275</v>
      </c>
    </row>
    <row r="60" spans="1:3" x14ac:dyDescent="0.45">
      <c r="A60" t="s">
        <v>129</v>
      </c>
      <c r="B60" t="s">
        <v>263</v>
      </c>
      <c r="C60" t="s">
        <v>251</v>
      </c>
    </row>
    <row r="61" spans="1:3" x14ac:dyDescent="0.45">
      <c r="A61" t="s">
        <v>185</v>
      </c>
      <c r="B61" t="s">
        <v>257</v>
      </c>
      <c r="C61" t="s">
        <v>275</v>
      </c>
    </row>
    <row r="62" spans="1:3" x14ac:dyDescent="0.45">
      <c r="A62" t="s">
        <v>106</v>
      </c>
      <c r="B62" t="s">
        <v>257</v>
      </c>
      <c r="C62" t="s">
        <v>251</v>
      </c>
    </row>
    <row r="63" spans="1:3" x14ac:dyDescent="0.45">
      <c r="A63" t="s">
        <v>76</v>
      </c>
      <c r="B63" t="s">
        <v>257</v>
      </c>
      <c r="C63" t="s">
        <v>258</v>
      </c>
    </row>
    <row r="64" spans="1:3" x14ac:dyDescent="0.45">
      <c r="A64" t="s">
        <v>77</v>
      </c>
      <c r="B64" t="s">
        <v>263</v>
      </c>
      <c r="C64" t="s">
        <v>275</v>
      </c>
    </row>
    <row r="65" spans="1:3" x14ac:dyDescent="0.45">
      <c r="A65" t="s">
        <v>105</v>
      </c>
      <c r="B65" t="s">
        <v>263</v>
      </c>
      <c r="C65" t="s">
        <v>251</v>
      </c>
    </row>
    <row r="66" spans="1:3" x14ac:dyDescent="0.45">
      <c r="A66" t="s">
        <v>79</v>
      </c>
      <c r="B66" t="s">
        <v>250</v>
      </c>
      <c r="C66" t="s">
        <v>275</v>
      </c>
    </row>
    <row r="67" spans="1:3" x14ac:dyDescent="0.45">
      <c r="A67" t="s">
        <v>169</v>
      </c>
      <c r="B67" t="s">
        <v>250</v>
      </c>
      <c r="C67" t="s">
        <v>258</v>
      </c>
    </row>
    <row r="68" spans="1:3" x14ac:dyDescent="0.45">
      <c r="A68" t="s">
        <v>134</v>
      </c>
      <c r="B68" t="s">
        <v>250</v>
      </c>
      <c r="C68" t="s">
        <v>275</v>
      </c>
    </row>
    <row r="69" spans="1:3" x14ac:dyDescent="0.45">
      <c r="A69" t="s">
        <v>206</v>
      </c>
      <c r="B69" t="s">
        <v>263</v>
      </c>
      <c r="C69" t="s">
        <v>258</v>
      </c>
    </row>
    <row r="70" spans="1:3" x14ac:dyDescent="0.45">
      <c r="A70" t="s">
        <v>136</v>
      </c>
      <c r="B70" t="s">
        <v>257</v>
      </c>
      <c r="C70" t="s">
        <v>275</v>
      </c>
    </row>
    <row r="71" spans="1:3" x14ac:dyDescent="0.45">
      <c r="A71" t="s">
        <v>107</v>
      </c>
      <c r="B71" t="s">
        <v>250</v>
      </c>
      <c r="C71" t="s">
        <v>251</v>
      </c>
    </row>
    <row r="72" spans="1:3" x14ac:dyDescent="0.45">
      <c r="A72" t="s">
        <v>200</v>
      </c>
      <c r="B72" t="s">
        <v>250</v>
      </c>
      <c r="C72" t="s">
        <v>275</v>
      </c>
    </row>
    <row r="73" spans="1:3" x14ac:dyDescent="0.45">
      <c r="A73" t="s">
        <v>198</v>
      </c>
      <c r="B73" t="s">
        <v>257</v>
      </c>
      <c r="C73" t="s">
        <v>251</v>
      </c>
    </row>
    <row r="74" spans="1:3" x14ac:dyDescent="0.45">
      <c r="A74" t="s">
        <v>97</v>
      </c>
      <c r="B74" t="s">
        <v>250</v>
      </c>
      <c r="C74" t="s">
        <v>251</v>
      </c>
    </row>
    <row r="75" spans="1:3" x14ac:dyDescent="0.45">
      <c r="A75" t="s">
        <v>91</v>
      </c>
      <c r="B75" t="s">
        <v>250</v>
      </c>
      <c r="C75" t="s">
        <v>275</v>
      </c>
    </row>
    <row r="76" spans="1:3" x14ac:dyDescent="0.45">
      <c r="A76" t="s">
        <v>103</v>
      </c>
      <c r="B76" t="s">
        <v>263</v>
      </c>
      <c r="C76" t="s">
        <v>251</v>
      </c>
    </row>
    <row r="77" spans="1:3" x14ac:dyDescent="0.45">
      <c r="A77" t="s">
        <v>73</v>
      </c>
      <c r="B77" t="s">
        <v>250</v>
      </c>
      <c r="C77" t="s">
        <v>251</v>
      </c>
    </row>
    <row r="78" spans="1:3" x14ac:dyDescent="0.45">
      <c r="A78" t="s">
        <v>183</v>
      </c>
      <c r="B78" t="s">
        <v>263</v>
      </c>
      <c r="C78" t="s">
        <v>275</v>
      </c>
    </row>
    <row r="79" spans="1:3" x14ac:dyDescent="0.45">
      <c r="A79" t="s">
        <v>140</v>
      </c>
      <c r="B79" t="s">
        <v>250</v>
      </c>
      <c r="C79" t="s">
        <v>251</v>
      </c>
    </row>
    <row r="80" spans="1:3" x14ac:dyDescent="0.45">
      <c r="A80" t="s">
        <v>50</v>
      </c>
      <c r="B80" t="s">
        <v>263</v>
      </c>
      <c r="C80" t="s">
        <v>258</v>
      </c>
    </row>
    <row r="81" spans="1:3" x14ac:dyDescent="0.45">
      <c r="A81" t="s">
        <v>126</v>
      </c>
      <c r="B81" t="s">
        <v>257</v>
      </c>
      <c r="C81" t="s">
        <v>258</v>
      </c>
    </row>
    <row r="82" spans="1:3" x14ac:dyDescent="0.45">
      <c r="A82" t="s">
        <v>112</v>
      </c>
      <c r="B82" t="s">
        <v>263</v>
      </c>
      <c r="C82" t="s">
        <v>275</v>
      </c>
    </row>
    <row r="83" spans="1:3" x14ac:dyDescent="0.45">
      <c r="A83" t="s">
        <v>161</v>
      </c>
      <c r="B83" t="s">
        <v>257</v>
      </c>
      <c r="C83" t="s">
        <v>275</v>
      </c>
    </row>
    <row r="84" spans="1:3" x14ac:dyDescent="0.45">
      <c r="A84" t="s">
        <v>75</v>
      </c>
      <c r="B84" t="s">
        <v>250</v>
      </c>
      <c r="C84" t="s">
        <v>258</v>
      </c>
    </row>
    <row r="85" spans="1:3" x14ac:dyDescent="0.45">
      <c r="A85" t="s">
        <v>150</v>
      </c>
      <c r="B85" t="s">
        <v>263</v>
      </c>
      <c r="C85" t="s">
        <v>258</v>
      </c>
    </row>
    <row r="86" spans="1:3" x14ac:dyDescent="0.45">
      <c r="A86" t="s">
        <v>113</v>
      </c>
      <c r="B86" t="s">
        <v>257</v>
      </c>
      <c r="C86" t="s">
        <v>258</v>
      </c>
    </row>
    <row r="87" spans="1:3" x14ac:dyDescent="0.45">
      <c r="A87" t="s">
        <v>154</v>
      </c>
      <c r="B87" t="s">
        <v>257</v>
      </c>
      <c r="C87" t="s">
        <v>258</v>
      </c>
    </row>
    <row r="88" spans="1:3" x14ac:dyDescent="0.45">
      <c r="A88" t="s">
        <v>93</v>
      </c>
      <c r="B88" t="s">
        <v>250</v>
      </c>
      <c r="C88" t="s">
        <v>258</v>
      </c>
    </row>
    <row r="89" spans="1:3" x14ac:dyDescent="0.45">
      <c r="A89" t="s">
        <v>202</v>
      </c>
      <c r="B89" t="s">
        <v>250</v>
      </c>
      <c r="C89" t="s">
        <v>258</v>
      </c>
    </row>
    <row r="90" spans="1:3" x14ac:dyDescent="0.45">
      <c r="A90" t="s">
        <v>87</v>
      </c>
      <c r="B90" t="s">
        <v>250</v>
      </c>
      <c r="C90" t="s">
        <v>258</v>
      </c>
    </row>
    <row r="91" spans="1:3" x14ac:dyDescent="0.45">
      <c r="A91" t="s">
        <v>108</v>
      </c>
      <c r="B91" t="s">
        <v>257</v>
      </c>
      <c r="C91" t="s">
        <v>275</v>
      </c>
    </row>
    <row r="92" spans="1:3" x14ac:dyDescent="0.45">
      <c r="A92" t="s">
        <v>74</v>
      </c>
      <c r="B92" t="s">
        <v>257</v>
      </c>
      <c r="C92" t="s">
        <v>275</v>
      </c>
    </row>
    <row r="93" spans="1:3" x14ac:dyDescent="0.45">
      <c r="A93" t="s">
        <v>138</v>
      </c>
      <c r="B93" t="s">
        <v>263</v>
      </c>
      <c r="C93" t="s">
        <v>275</v>
      </c>
    </row>
    <row r="94" spans="1:3" x14ac:dyDescent="0.45">
      <c r="A94" t="s">
        <v>201</v>
      </c>
      <c r="B94" t="s">
        <v>263</v>
      </c>
      <c r="C94" t="s">
        <v>275</v>
      </c>
    </row>
    <row r="95" spans="1:3" x14ac:dyDescent="0.45">
      <c r="A95" t="s">
        <v>115</v>
      </c>
      <c r="B95" t="s">
        <v>257</v>
      </c>
      <c r="C95" t="s">
        <v>275</v>
      </c>
    </row>
    <row r="96" spans="1:3" x14ac:dyDescent="0.45">
      <c r="A96" t="s">
        <v>111</v>
      </c>
      <c r="B96" t="s">
        <v>263</v>
      </c>
      <c r="C96" t="s">
        <v>251</v>
      </c>
    </row>
    <row r="97" spans="1:3" x14ac:dyDescent="0.45">
      <c r="A97" t="s">
        <v>127</v>
      </c>
      <c r="B97" t="s">
        <v>250</v>
      </c>
      <c r="C97" t="s">
        <v>251</v>
      </c>
    </row>
    <row r="98" spans="1:3" x14ac:dyDescent="0.45">
      <c r="A98" t="s">
        <v>45</v>
      </c>
      <c r="B98" t="s">
        <v>257</v>
      </c>
      <c r="C98" t="s">
        <v>275</v>
      </c>
    </row>
    <row r="99" spans="1:3" x14ac:dyDescent="0.45">
      <c r="A99" t="s">
        <v>186</v>
      </c>
      <c r="B99" t="s">
        <v>263</v>
      </c>
      <c r="C99" t="s">
        <v>258</v>
      </c>
    </row>
    <row r="100" spans="1:3" x14ac:dyDescent="0.45">
      <c r="A100" t="s">
        <v>171</v>
      </c>
      <c r="B100" t="s">
        <v>263</v>
      </c>
      <c r="C100" t="s">
        <v>275</v>
      </c>
    </row>
    <row r="101" spans="1:3" x14ac:dyDescent="0.45">
      <c r="A101" t="s">
        <v>192</v>
      </c>
      <c r="B101" t="s">
        <v>257</v>
      </c>
      <c r="C101" t="s">
        <v>251</v>
      </c>
    </row>
    <row r="102" spans="1:3" x14ac:dyDescent="0.45">
      <c r="A102" t="s">
        <v>114</v>
      </c>
      <c r="B102" t="s">
        <v>263</v>
      </c>
      <c r="C102" t="s">
        <v>275</v>
      </c>
    </row>
    <row r="103" spans="1:3" x14ac:dyDescent="0.45">
      <c r="A103" t="s">
        <v>165</v>
      </c>
      <c r="B103" t="s">
        <v>250</v>
      </c>
      <c r="C103" t="s">
        <v>275</v>
      </c>
    </row>
    <row r="104" spans="1:3" x14ac:dyDescent="0.45">
      <c r="A104" t="s">
        <v>191</v>
      </c>
      <c r="B104" t="s">
        <v>250</v>
      </c>
      <c r="C104" t="s">
        <v>258</v>
      </c>
    </row>
    <row r="105" spans="1:3" x14ac:dyDescent="0.45">
      <c r="A105" t="s">
        <v>81</v>
      </c>
      <c r="B105" t="s">
        <v>250</v>
      </c>
      <c r="C105" t="s">
        <v>251</v>
      </c>
    </row>
    <row r="106" spans="1:3" x14ac:dyDescent="0.45">
      <c r="A106" t="s">
        <v>196</v>
      </c>
      <c r="B106" t="s">
        <v>263</v>
      </c>
      <c r="C106" t="s">
        <v>251</v>
      </c>
    </row>
    <row r="107" spans="1:3" x14ac:dyDescent="0.45">
      <c r="A107" t="s">
        <v>193</v>
      </c>
      <c r="B107" t="s">
        <v>250</v>
      </c>
      <c r="C107" t="s">
        <v>258</v>
      </c>
    </row>
    <row r="108" spans="1:3" x14ac:dyDescent="0.45">
      <c r="A108" t="s">
        <v>72</v>
      </c>
      <c r="B108" t="s">
        <v>257</v>
      </c>
      <c r="C108" t="s">
        <v>258</v>
      </c>
    </row>
    <row r="109" spans="1:3" x14ac:dyDescent="0.45">
      <c r="A109" t="s">
        <v>119</v>
      </c>
      <c r="B109" t="s">
        <v>257</v>
      </c>
      <c r="C109" t="s">
        <v>275</v>
      </c>
    </row>
    <row r="110" spans="1:3" x14ac:dyDescent="0.45">
      <c r="A110" t="s">
        <v>160</v>
      </c>
      <c r="B110" t="s">
        <v>257</v>
      </c>
      <c r="C110" t="s">
        <v>258</v>
      </c>
    </row>
    <row r="111" spans="1:3" x14ac:dyDescent="0.45">
      <c r="A111" t="s">
        <v>62</v>
      </c>
      <c r="B111" t="s">
        <v>257</v>
      </c>
      <c r="C111" t="s">
        <v>275</v>
      </c>
    </row>
    <row r="112" spans="1:3" x14ac:dyDescent="0.45">
      <c r="A112" t="s">
        <v>195</v>
      </c>
      <c r="B112" t="s">
        <v>263</v>
      </c>
      <c r="C112" t="s">
        <v>275</v>
      </c>
    </row>
    <row r="113" spans="1:3" x14ac:dyDescent="0.45">
      <c r="A113" t="s">
        <v>182</v>
      </c>
      <c r="B113" t="s">
        <v>250</v>
      </c>
      <c r="C113" t="s">
        <v>275</v>
      </c>
    </row>
    <row r="114" spans="1:3" x14ac:dyDescent="0.45">
      <c r="A114" t="s">
        <v>152</v>
      </c>
      <c r="B114" t="s">
        <v>250</v>
      </c>
      <c r="C114" t="s">
        <v>275</v>
      </c>
    </row>
    <row r="115" spans="1:3" x14ac:dyDescent="0.45">
      <c r="A115" t="s">
        <v>116</v>
      </c>
      <c r="B115" t="s">
        <v>257</v>
      </c>
      <c r="C115" t="s">
        <v>258</v>
      </c>
    </row>
    <row r="116" spans="1:3" x14ac:dyDescent="0.45">
      <c r="A116" t="s">
        <v>178</v>
      </c>
      <c r="B116" t="s">
        <v>250</v>
      </c>
      <c r="C116" t="s">
        <v>258</v>
      </c>
    </row>
    <row r="117" spans="1:3" x14ac:dyDescent="0.45">
      <c r="A117" t="s">
        <v>142</v>
      </c>
      <c r="B117" t="s">
        <v>257</v>
      </c>
      <c r="C117" t="s">
        <v>275</v>
      </c>
    </row>
    <row r="118" spans="1:3" x14ac:dyDescent="0.45">
      <c r="A118" t="s">
        <v>181</v>
      </c>
      <c r="B118" t="s">
        <v>263</v>
      </c>
      <c r="C118" t="s">
        <v>251</v>
      </c>
    </row>
    <row r="119" spans="1:3" x14ac:dyDescent="0.45">
      <c r="A119" t="s">
        <v>188</v>
      </c>
      <c r="B119" t="s">
        <v>250</v>
      </c>
      <c r="C119" t="s">
        <v>275</v>
      </c>
    </row>
    <row r="120" spans="1:3" x14ac:dyDescent="0.45">
      <c r="A120" t="s">
        <v>110</v>
      </c>
      <c r="B120" t="s">
        <v>257</v>
      </c>
      <c r="C120" t="s">
        <v>251</v>
      </c>
    </row>
    <row r="121" spans="1:3" x14ac:dyDescent="0.45">
      <c r="A121" t="s">
        <v>135</v>
      </c>
      <c r="B121" t="s">
        <v>250</v>
      </c>
      <c r="C121" t="s">
        <v>275</v>
      </c>
    </row>
    <row r="122" spans="1:3" x14ac:dyDescent="0.45">
      <c r="A122" t="s">
        <v>60</v>
      </c>
      <c r="B122" t="s">
        <v>257</v>
      </c>
      <c r="C122" t="s">
        <v>275</v>
      </c>
    </row>
    <row r="123" spans="1:3" x14ac:dyDescent="0.45">
      <c r="A123" t="s">
        <v>208</v>
      </c>
      <c r="B123" t="s">
        <v>263</v>
      </c>
      <c r="C123" t="s">
        <v>251</v>
      </c>
    </row>
    <row r="124" spans="1:3" x14ac:dyDescent="0.45">
      <c r="A124" t="s">
        <v>95</v>
      </c>
      <c r="B124" t="s">
        <v>257</v>
      </c>
      <c r="C124" t="s">
        <v>275</v>
      </c>
    </row>
    <row r="125" spans="1:3" x14ac:dyDescent="0.45">
      <c r="A125" t="s">
        <v>167</v>
      </c>
      <c r="B125" t="s">
        <v>257</v>
      </c>
      <c r="C125" t="s">
        <v>275</v>
      </c>
    </row>
    <row r="126" spans="1:3" x14ac:dyDescent="0.45">
      <c r="A126" t="s">
        <v>117</v>
      </c>
      <c r="B126" t="s">
        <v>250</v>
      </c>
      <c r="C126" t="s">
        <v>251</v>
      </c>
    </row>
    <row r="127" spans="1:3" x14ac:dyDescent="0.45">
      <c r="A127" t="s">
        <v>141</v>
      </c>
      <c r="B127" t="s">
        <v>250</v>
      </c>
      <c r="C127" t="s">
        <v>275</v>
      </c>
    </row>
    <row r="128" spans="1:3" x14ac:dyDescent="0.45">
      <c r="A128" t="s">
        <v>137</v>
      </c>
      <c r="B128" t="s">
        <v>250</v>
      </c>
      <c r="C128" t="s">
        <v>258</v>
      </c>
    </row>
    <row r="129" spans="1:3" x14ac:dyDescent="0.45">
      <c r="A129" t="s">
        <v>139</v>
      </c>
      <c r="B129" t="s">
        <v>250</v>
      </c>
      <c r="C129" t="s">
        <v>251</v>
      </c>
    </row>
    <row r="130" spans="1:3" x14ac:dyDescent="0.45">
      <c r="A130" t="s">
        <v>162</v>
      </c>
      <c r="B130" t="s">
        <v>263</v>
      </c>
      <c r="C130" t="s">
        <v>275</v>
      </c>
    </row>
    <row r="131" spans="1:3" x14ac:dyDescent="0.45">
      <c r="A131" t="s">
        <v>65</v>
      </c>
      <c r="B131" t="s">
        <v>257</v>
      </c>
      <c r="C131" t="s">
        <v>275</v>
      </c>
    </row>
    <row r="132" spans="1:3" x14ac:dyDescent="0.45">
      <c r="A132" t="s">
        <v>199</v>
      </c>
      <c r="B132" t="s">
        <v>250</v>
      </c>
      <c r="C132" t="s">
        <v>258</v>
      </c>
    </row>
    <row r="133" spans="1:3" x14ac:dyDescent="0.45">
      <c r="A133" t="s">
        <v>187</v>
      </c>
      <c r="B133" t="s">
        <v>257</v>
      </c>
      <c r="C133" t="s">
        <v>251</v>
      </c>
    </row>
    <row r="134" spans="1:3" x14ac:dyDescent="0.45">
      <c r="A134" t="s">
        <v>118</v>
      </c>
      <c r="B134" t="s">
        <v>250</v>
      </c>
      <c r="C134" t="s">
        <v>275</v>
      </c>
    </row>
    <row r="135" spans="1:3" x14ac:dyDescent="0.45">
      <c r="A135" t="s">
        <v>174</v>
      </c>
      <c r="B135" t="s">
        <v>257</v>
      </c>
      <c r="C135" t="s">
        <v>258</v>
      </c>
    </row>
    <row r="136" spans="1:3" x14ac:dyDescent="0.45">
      <c r="A136" t="s">
        <v>83</v>
      </c>
      <c r="B136" t="s">
        <v>263</v>
      </c>
      <c r="C136" t="s">
        <v>251</v>
      </c>
    </row>
    <row r="137" spans="1:3" x14ac:dyDescent="0.45">
      <c r="A137" t="s">
        <v>194</v>
      </c>
      <c r="B137" t="s">
        <v>257</v>
      </c>
      <c r="C137" t="s">
        <v>275</v>
      </c>
    </row>
    <row r="138" spans="1:3" x14ac:dyDescent="0.45">
      <c r="A138" t="s">
        <v>158</v>
      </c>
      <c r="B138" t="s">
        <v>250</v>
      </c>
      <c r="C138" t="s">
        <v>251</v>
      </c>
    </row>
    <row r="139" spans="1:3" x14ac:dyDescent="0.45">
      <c r="A139" t="s">
        <v>209</v>
      </c>
      <c r="B139" t="s">
        <v>257</v>
      </c>
      <c r="C139" t="s">
        <v>258</v>
      </c>
    </row>
    <row r="140" spans="1:3" x14ac:dyDescent="0.45">
      <c r="A140" t="s">
        <v>86</v>
      </c>
      <c r="B140" t="s">
        <v>257</v>
      </c>
      <c r="C140" t="s">
        <v>275</v>
      </c>
    </row>
    <row r="141" spans="1:3" x14ac:dyDescent="0.45">
      <c r="A141" t="s">
        <v>67</v>
      </c>
      <c r="B141" t="s">
        <v>250</v>
      </c>
      <c r="C141" t="s">
        <v>275</v>
      </c>
    </row>
    <row r="142" spans="1:3" x14ac:dyDescent="0.45">
      <c r="A142" t="s">
        <v>37</v>
      </c>
      <c r="B142" t="s">
        <v>250</v>
      </c>
      <c r="C142" t="s">
        <v>275</v>
      </c>
    </row>
    <row r="143" spans="1:3" x14ac:dyDescent="0.45">
      <c r="A143" t="s">
        <v>85</v>
      </c>
      <c r="B143" t="s">
        <v>250</v>
      </c>
      <c r="C143" t="s">
        <v>275</v>
      </c>
    </row>
    <row r="144" spans="1:3" x14ac:dyDescent="0.45">
      <c r="A144" t="s">
        <v>173</v>
      </c>
      <c r="B144" t="s">
        <v>250</v>
      </c>
      <c r="C144" t="s">
        <v>251</v>
      </c>
    </row>
    <row r="145" spans="1:3" x14ac:dyDescent="0.45">
      <c r="A145" t="s">
        <v>104</v>
      </c>
      <c r="B145" t="s">
        <v>263</v>
      </c>
      <c r="C145" t="s">
        <v>258</v>
      </c>
    </row>
    <row r="146" spans="1:3" x14ac:dyDescent="0.45">
      <c r="A146" t="s">
        <v>168</v>
      </c>
      <c r="B146" t="s">
        <v>257</v>
      </c>
      <c r="C146" t="s">
        <v>258</v>
      </c>
    </row>
    <row r="147" spans="1:3" x14ac:dyDescent="0.45">
      <c r="A147" t="s">
        <v>53</v>
      </c>
      <c r="B147" t="s">
        <v>250</v>
      </c>
      <c r="C147" t="s">
        <v>275</v>
      </c>
    </row>
    <row r="148" spans="1:3" x14ac:dyDescent="0.45">
      <c r="A148" t="s">
        <v>109</v>
      </c>
      <c r="B148" t="s">
        <v>263</v>
      </c>
      <c r="C148" t="s">
        <v>275</v>
      </c>
    </row>
  </sheetData>
  <conditionalFormatting sqref="D4:D148">
    <cfRule type="expression" dxfId="4" priority="2">
      <formula>"Yes"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EFE30-6A86-48D9-A2C5-E6A5D4DA230F}">
  <dimension ref="A1:J20"/>
  <sheetViews>
    <sheetView zoomScale="70" zoomScaleNormal="70" workbookViewId="0">
      <selection activeCell="F6" sqref="F6"/>
    </sheetView>
  </sheetViews>
  <sheetFormatPr baseColWidth="10" defaultColWidth="9.06640625" defaultRowHeight="14.25" x14ac:dyDescent="0.45"/>
  <cols>
    <col min="1" max="1" width="20.53125" customWidth="1"/>
    <col min="2" max="3" width="15.796875" customWidth="1"/>
    <col min="4" max="4" width="12.6640625" customWidth="1"/>
    <col min="5" max="5" width="3.6640625" customWidth="1"/>
    <col min="6" max="6" width="18" customWidth="1"/>
    <col min="7" max="7" width="16.46484375" customWidth="1"/>
    <col min="9" max="9" width="10.6640625" customWidth="1"/>
  </cols>
  <sheetData>
    <row r="1" spans="1:10" ht="29" customHeight="1" x14ac:dyDescent="0.45">
      <c r="A1" s="41" t="s">
        <v>641</v>
      </c>
      <c r="B1" s="41"/>
      <c r="C1" s="41"/>
      <c r="D1" s="41"/>
      <c r="F1" s="36" t="s">
        <v>661</v>
      </c>
      <c r="G1" s="5" t="s">
        <v>287</v>
      </c>
    </row>
    <row r="2" spans="1:10" ht="31.5" x14ac:dyDescent="0.45">
      <c r="A2" s="18" t="s">
        <v>24</v>
      </c>
      <c r="B2" s="18" t="s">
        <v>237</v>
      </c>
      <c r="C2" s="37" t="s">
        <v>662</v>
      </c>
      <c r="D2" s="17" t="s">
        <v>642</v>
      </c>
      <c r="F2" s="38" t="s">
        <v>24</v>
      </c>
      <c r="G2" s="38" t="s">
        <v>237</v>
      </c>
      <c r="H2" s="17" t="s">
        <v>662</v>
      </c>
      <c r="I2" s="17" t="s">
        <v>642</v>
      </c>
      <c r="J2" s="17"/>
    </row>
    <row r="3" spans="1:10" x14ac:dyDescent="0.45">
      <c r="A3" t="s">
        <v>88</v>
      </c>
      <c r="B3" t="s">
        <v>247</v>
      </c>
      <c r="C3" t="s">
        <v>663</v>
      </c>
      <c r="D3" s="19">
        <v>6</v>
      </c>
    </row>
    <row r="4" spans="1:10" x14ac:dyDescent="0.45">
      <c r="A4" t="s">
        <v>92</v>
      </c>
      <c r="B4" t="s">
        <v>247</v>
      </c>
      <c r="C4" t="s">
        <v>664</v>
      </c>
      <c r="D4" s="19">
        <v>5</v>
      </c>
    </row>
    <row r="5" spans="1:10" x14ac:dyDescent="0.45">
      <c r="A5" t="s">
        <v>49</v>
      </c>
      <c r="B5" t="s">
        <v>247</v>
      </c>
      <c r="C5" t="s">
        <v>665</v>
      </c>
      <c r="D5" s="19">
        <v>7</v>
      </c>
    </row>
    <row r="6" spans="1:10" x14ac:dyDescent="0.45">
      <c r="A6" t="s">
        <v>84</v>
      </c>
      <c r="B6" t="s">
        <v>247</v>
      </c>
      <c r="C6" t="s">
        <v>664</v>
      </c>
      <c r="D6" s="19">
        <v>6</v>
      </c>
    </row>
    <row r="7" spans="1:10" x14ac:dyDescent="0.45">
      <c r="A7" t="s">
        <v>56</v>
      </c>
      <c r="B7" t="s">
        <v>287</v>
      </c>
      <c r="C7" t="s">
        <v>666</v>
      </c>
      <c r="D7" s="19">
        <v>12</v>
      </c>
    </row>
    <row r="8" spans="1:10" x14ac:dyDescent="0.45">
      <c r="A8" t="s">
        <v>38</v>
      </c>
      <c r="B8" t="s">
        <v>247</v>
      </c>
      <c r="C8" s="39" t="s">
        <v>672</v>
      </c>
      <c r="D8" s="19">
        <v>7</v>
      </c>
    </row>
    <row r="9" spans="1:10" x14ac:dyDescent="0.45">
      <c r="A9" t="s">
        <v>63</v>
      </c>
      <c r="B9" t="s">
        <v>247</v>
      </c>
      <c r="C9" t="s">
        <v>570</v>
      </c>
      <c r="D9" s="19">
        <v>13</v>
      </c>
    </row>
    <row r="10" spans="1:10" x14ac:dyDescent="0.45">
      <c r="A10" t="s">
        <v>41</v>
      </c>
      <c r="B10" t="s">
        <v>247</v>
      </c>
      <c r="C10" t="s">
        <v>667</v>
      </c>
      <c r="D10" s="19">
        <v>19</v>
      </c>
    </row>
    <row r="11" spans="1:10" x14ac:dyDescent="0.45">
      <c r="A11" t="s">
        <v>98</v>
      </c>
      <c r="B11" t="s">
        <v>247</v>
      </c>
      <c r="C11" t="s">
        <v>445</v>
      </c>
      <c r="D11" s="19">
        <v>6</v>
      </c>
    </row>
    <row r="12" spans="1:10" x14ac:dyDescent="0.45">
      <c r="A12" t="s">
        <v>51</v>
      </c>
      <c r="B12" t="s">
        <v>247</v>
      </c>
      <c r="C12" t="s">
        <v>668</v>
      </c>
      <c r="D12" s="19">
        <v>20</v>
      </c>
    </row>
    <row r="13" spans="1:10" x14ac:dyDescent="0.45">
      <c r="A13" t="s">
        <v>43</v>
      </c>
      <c r="B13" t="s">
        <v>247</v>
      </c>
      <c r="C13" s="39" t="s">
        <v>672</v>
      </c>
      <c r="D13" s="19">
        <v>5</v>
      </c>
    </row>
    <row r="14" spans="1:10" x14ac:dyDescent="0.45">
      <c r="A14" t="s">
        <v>46</v>
      </c>
      <c r="B14" t="s">
        <v>351</v>
      </c>
      <c r="C14" t="s">
        <v>670</v>
      </c>
      <c r="D14" s="19">
        <v>6</v>
      </c>
    </row>
    <row r="15" spans="1:10" x14ac:dyDescent="0.45">
      <c r="A15" t="s">
        <v>145</v>
      </c>
      <c r="B15" t="s">
        <v>247</v>
      </c>
      <c r="C15" t="s">
        <v>671</v>
      </c>
      <c r="D15" s="19">
        <v>5</v>
      </c>
    </row>
    <row r="16" spans="1:10" x14ac:dyDescent="0.45">
      <c r="A16" t="s">
        <v>78</v>
      </c>
      <c r="B16" t="s">
        <v>247</v>
      </c>
      <c r="C16" t="s">
        <v>445</v>
      </c>
      <c r="D16" s="19">
        <v>6</v>
      </c>
    </row>
    <row r="17" spans="1:4" x14ac:dyDescent="0.45">
      <c r="A17" t="s">
        <v>35</v>
      </c>
      <c r="B17" t="s">
        <v>247</v>
      </c>
      <c r="C17" t="s">
        <v>668</v>
      </c>
      <c r="D17" s="19">
        <v>7</v>
      </c>
    </row>
    <row r="18" spans="1:4" x14ac:dyDescent="0.45">
      <c r="A18" t="s">
        <v>96</v>
      </c>
      <c r="B18" t="s">
        <v>247</v>
      </c>
      <c r="C18" t="s">
        <v>669</v>
      </c>
      <c r="D18" s="19">
        <v>5</v>
      </c>
    </row>
    <row r="19" spans="1:4" x14ac:dyDescent="0.45">
      <c r="A19" t="s">
        <v>66</v>
      </c>
      <c r="B19" t="s">
        <v>247</v>
      </c>
      <c r="C19" t="s">
        <v>664</v>
      </c>
      <c r="D19" s="19">
        <v>6</v>
      </c>
    </row>
    <row r="20" spans="1:4" x14ac:dyDescent="0.45">
      <c r="A20" t="s">
        <v>54</v>
      </c>
      <c r="B20" t="s">
        <v>287</v>
      </c>
      <c r="C20" s="39" t="s">
        <v>672</v>
      </c>
      <c r="D20" s="19">
        <v>4</v>
      </c>
    </row>
  </sheetData>
  <sortState xmlns:xlrd2="http://schemas.microsoft.com/office/spreadsheetml/2017/richdata2" ref="A3:D20">
    <sortCondition ref="A10:A20"/>
  </sortState>
  <mergeCells count="1">
    <mergeCell ref="A1:D1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856D6-1C47-4519-B893-541F1D955853}">
  <dimension ref="A1:C24"/>
  <sheetViews>
    <sheetView zoomScale="145" zoomScaleNormal="145" workbookViewId="0">
      <selection activeCell="B22" sqref="B22"/>
    </sheetView>
  </sheetViews>
  <sheetFormatPr baseColWidth="10" defaultColWidth="9.06640625" defaultRowHeight="14.25" x14ac:dyDescent="0.45"/>
  <cols>
    <col min="1" max="1" width="30.19921875" bestFit="1" customWidth="1"/>
    <col min="2" max="2" width="27.33203125" bestFit="1" customWidth="1"/>
    <col min="3" max="3" width="17.6640625" style="26" customWidth="1"/>
  </cols>
  <sheetData>
    <row r="1" spans="1:3" ht="25.5" x14ac:dyDescent="0.75">
      <c r="A1" s="6" t="s">
        <v>643</v>
      </c>
    </row>
    <row r="3" spans="1:3" x14ac:dyDescent="0.45">
      <c r="A3" s="7" t="s">
        <v>24</v>
      </c>
      <c r="B3" s="7" t="s">
        <v>644</v>
      </c>
      <c r="C3" s="27" t="s">
        <v>645</v>
      </c>
    </row>
    <row r="6" spans="1:3" x14ac:dyDescent="0.45">
      <c r="A6" s="7" t="s">
        <v>646</v>
      </c>
      <c r="B6" s="7" t="s">
        <v>644</v>
      </c>
      <c r="C6" s="27" t="s">
        <v>647</v>
      </c>
    </row>
    <row r="7" spans="1:3" x14ac:dyDescent="0.45">
      <c r="A7" t="s">
        <v>217</v>
      </c>
      <c r="B7" t="s">
        <v>220</v>
      </c>
    </row>
    <row r="8" spans="1:3" x14ac:dyDescent="0.45">
      <c r="A8" t="s">
        <v>217</v>
      </c>
      <c r="B8" t="s">
        <v>218</v>
      </c>
    </row>
    <row r="9" spans="1:3" x14ac:dyDescent="0.45">
      <c r="A9" t="s">
        <v>226</v>
      </c>
      <c r="B9" t="s">
        <v>228</v>
      </c>
    </row>
    <row r="10" spans="1:3" x14ac:dyDescent="0.45">
      <c r="A10" t="s">
        <v>226</v>
      </c>
      <c r="B10" t="s">
        <v>227</v>
      </c>
    </row>
    <row r="11" spans="1:3" x14ac:dyDescent="0.45">
      <c r="A11" t="s">
        <v>213</v>
      </c>
      <c r="B11" t="s">
        <v>216</v>
      </c>
    </row>
    <row r="12" spans="1:3" x14ac:dyDescent="0.45">
      <c r="A12" t="s">
        <v>221</v>
      </c>
      <c r="B12" t="s">
        <v>223</v>
      </c>
    </row>
    <row r="13" spans="1:3" x14ac:dyDescent="0.45">
      <c r="A13" t="s">
        <v>221</v>
      </c>
      <c r="B13" t="s">
        <v>224</v>
      </c>
    </row>
    <row r="14" spans="1:3" x14ac:dyDescent="0.45">
      <c r="A14" t="s">
        <v>226</v>
      </c>
      <c r="B14" t="s">
        <v>229</v>
      </c>
    </row>
    <row r="15" spans="1:3" x14ac:dyDescent="0.45">
      <c r="A15" t="s">
        <v>213</v>
      </c>
      <c r="B15" t="s">
        <v>214</v>
      </c>
    </row>
    <row r="16" spans="1:3" x14ac:dyDescent="0.45">
      <c r="A16" t="s">
        <v>221</v>
      </c>
      <c r="B16" t="s">
        <v>225</v>
      </c>
    </row>
    <row r="17" spans="1:2" x14ac:dyDescent="0.45">
      <c r="A17" t="s">
        <v>221</v>
      </c>
      <c r="B17" t="s">
        <v>222</v>
      </c>
    </row>
    <row r="18" spans="1:2" x14ac:dyDescent="0.45">
      <c r="A18" t="s">
        <v>213</v>
      </c>
      <c r="B18" t="s">
        <v>215</v>
      </c>
    </row>
    <row r="19" spans="1:2" x14ac:dyDescent="0.45">
      <c r="A19" t="s">
        <v>217</v>
      </c>
      <c r="B19" t="s">
        <v>219</v>
      </c>
    </row>
    <row r="24" spans="1:2" x14ac:dyDescent="0.45">
      <c r="A24" s="11"/>
    </row>
  </sheetData>
  <sortState xmlns:xlrd2="http://schemas.microsoft.com/office/spreadsheetml/2017/richdata2" ref="A7:B19">
    <sortCondition ref="B7:B19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57041-5F39-4183-B8D2-C6514EEB2739}">
  <dimension ref="A1:C46"/>
  <sheetViews>
    <sheetView showGridLines="0" zoomScaleNormal="100" workbookViewId="0">
      <selection activeCell="E5" sqref="E5"/>
    </sheetView>
  </sheetViews>
  <sheetFormatPr baseColWidth="10" defaultColWidth="9.06640625" defaultRowHeight="14.25" x14ac:dyDescent="0.45"/>
  <cols>
    <col min="1" max="1" width="14.19921875" customWidth="1"/>
    <col min="2" max="2" width="45.33203125" customWidth="1"/>
    <col min="3" max="3" width="15.33203125" customWidth="1"/>
  </cols>
  <sheetData>
    <row r="1" spans="1:3" s="32" customFormat="1" ht="50.55" customHeight="1" x14ac:dyDescent="0.45">
      <c r="A1" s="33" t="s">
        <v>650</v>
      </c>
      <c r="B1" s="33"/>
      <c r="C1" s="33"/>
    </row>
    <row r="2" spans="1:3" s="13" customFormat="1" ht="39" customHeight="1" x14ac:dyDescent="0.45">
      <c r="A2" s="30" t="s">
        <v>651</v>
      </c>
      <c r="B2" s="31" t="s">
        <v>654</v>
      </c>
      <c r="C2" s="31" t="s">
        <v>652</v>
      </c>
    </row>
    <row r="3" spans="1:3" x14ac:dyDescent="0.45">
      <c r="A3" s="29">
        <v>44743</v>
      </c>
      <c r="B3" s="28"/>
      <c r="C3" s="28"/>
    </row>
    <row r="4" spans="1:3" x14ac:dyDescent="0.45">
      <c r="A4" s="29">
        <v>44744</v>
      </c>
      <c r="B4" s="28"/>
      <c r="C4" s="28"/>
    </row>
    <row r="5" spans="1:3" x14ac:dyDescent="0.45">
      <c r="A5" s="29">
        <v>44745</v>
      </c>
      <c r="B5" s="28"/>
      <c r="C5" s="28"/>
    </row>
    <row r="6" spans="1:3" x14ac:dyDescent="0.45">
      <c r="A6" s="29">
        <v>44746</v>
      </c>
      <c r="B6" s="28"/>
      <c r="C6" s="28"/>
    </row>
    <row r="7" spans="1:3" x14ac:dyDescent="0.45">
      <c r="A7" s="29">
        <v>44747</v>
      </c>
      <c r="B7" s="28"/>
      <c r="C7" s="28"/>
    </row>
    <row r="8" spans="1:3" x14ac:dyDescent="0.45">
      <c r="A8" s="29">
        <v>44748</v>
      </c>
      <c r="B8" s="28"/>
      <c r="C8" s="28"/>
    </row>
    <row r="9" spans="1:3" x14ac:dyDescent="0.45">
      <c r="A9" s="29">
        <v>44749</v>
      </c>
      <c r="B9" s="28"/>
      <c r="C9" s="28"/>
    </row>
    <row r="10" spans="1:3" x14ac:dyDescent="0.45">
      <c r="A10" s="29">
        <v>44750</v>
      </c>
      <c r="B10" s="28"/>
      <c r="C10" s="28"/>
    </row>
    <row r="11" spans="1:3" x14ac:dyDescent="0.45">
      <c r="A11" s="29">
        <v>44751</v>
      </c>
      <c r="B11" s="28"/>
      <c r="C11" s="28"/>
    </row>
    <row r="12" spans="1:3" x14ac:dyDescent="0.45">
      <c r="A12" s="29">
        <v>44752</v>
      </c>
      <c r="B12" s="28"/>
      <c r="C12" s="28"/>
    </row>
    <row r="13" spans="1:3" x14ac:dyDescent="0.45">
      <c r="A13" s="29">
        <v>44753</v>
      </c>
      <c r="B13" s="28"/>
      <c r="C13" s="28"/>
    </row>
    <row r="14" spans="1:3" x14ac:dyDescent="0.45">
      <c r="A14" s="29">
        <v>44754</v>
      </c>
      <c r="B14" s="28"/>
      <c r="C14" s="28"/>
    </row>
    <row r="15" spans="1:3" x14ac:dyDescent="0.45">
      <c r="A15" s="29">
        <v>44755</v>
      </c>
      <c r="B15" s="28"/>
      <c r="C15" s="28"/>
    </row>
    <row r="16" spans="1:3" x14ac:dyDescent="0.45">
      <c r="A16" s="29">
        <v>44756</v>
      </c>
      <c r="B16" s="28"/>
      <c r="C16" s="28"/>
    </row>
    <row r="17" spans="1:3" x14ac:dyDescent="0.45">
      <c r="A17" s="29">
        <v>44757</v>
      </c>
      <c r="B17" s="28"/>
      <c r="C17" s="28"/>
    </row>
    <row r="18" spans="1:3" x14ac:dyDescent="0.45">
      <c r="A18" s="29">
        <v>44758</v>
      </c>
      <c r="B18" s="28"/>
      <c r="C18" s="28"/>
    </row>
    <row r="19" spans="1:3" x14ac:dyDescent="0.45">
      <c r="A19" s="29">
        <v>44759</v>
      </c>
      <c r="B19" s="28"/>
      <c r="C19" s="28"/>
    </row>
    <row r="20" spans="1:3" x14ac:dyDescent="0.45">
      <c r="A20" s="29">
        <v>44760</v>
      </c>
      <c r="B20" s="28"/>
      <c r="C20" s="28"/>
    </row>
    <row r="21" spans="1:3" x14ac:dyDescent="0.45">
      <c r="A21" s="29">
        <v>44761</v>
      </c>
      <c r="B21" s="28"/>
      <c r="C21" s="28"/>
    </row>
    <row r="22" spans="1:3" x14ac:dyDescent="0.45">
      <c r="A22" s="29">
        <v>44762</v>
      </c>
      <c r="B22" s="28"/>
      <c r="C22" s="28"/>
    </row>
    <row r="23" spans="1:3" x14ac:dyDescent="0.45">
      <c r="A23" s="29">
        <v>44763</v>
      </c>
      <c r="B23" s="28"/>
      <c r="C23" s="28"/>
    </row>
    <row r="24" spans="1:3" x14ac:dyDescent="0.45">
      <c r="A24" s="29">
        <v>44764</v>
      </c>
      <c r="B24" s="28"/>
      <c r="C24" s="28"/>
    </row>
    <row r="25" spans="1:3" x14ac:dyDescent="0.45">
      <c r="A25" s="29">
        <v>44765</v>
      </c>
      <c r="B25" s="28"/>
      <c r="C25" s="28"/>
    </row>
    <row r="26" spans="1:3" x14ac:dyDescent="0.45">
      <c r="A26" s="29">
        <v>44766</v>
      </c>
      <c r="B26" s="28"/>
      <c r="C26" s="28"/>
    </row>
    <row r="27" spans="1:3" x14ac:dyDescent="0.45">
      <c r="A27" s="29">
        <v>44767</v>
      </c>
      <c r="B27" s="28"/>
      <c r="C27" s="28"/>
    </row>
    <row r="28" spans="1:3" x14ac:dyDescent="0.45">
      <c r="A28" s="29">
        <v>44768</v>
      </c>
      <c r="B28" s="28"/>
      <c r="C28" s="28"/>
    </row>
    <row r="29" spans="1:3" x14ac:dyDescent="0.45">
      <c r="A29" s="29">
        <v>44769</v>
      </c>
      <c r="B29" s="28"/>
      <c r="C29" s="28"/>
    </row>
    <row r="30" spans="1:3" x14ac:dyDescent="0.45">
      <c r="A30" s="29">
        <v>44770</v>
      </c>
      <c r="B30" s="28"/>
      <c r="C30" s="28"/>
    </row>
    <row r="31" spans="1:3" x14ac:dyDescent="0.45">
      <c r="A31" s="29">
        <v>44771</v>
      </c>
      <c r="B31" s="28"/>
      <c r="C31" s="28"/>
    </row>
    <row r="32" spans="1:3" x14ac:dyDescent="0.45">
      <c r="A32" s="29">
        <v>44772</v>
      </c>
      <c r="B32" s="28"/>
      <c r="C32" s="28"/>
    </row>
    <row r="33" spans="1:3" x14ac:dyDescent="0.45">
      <c r="A33" s="29">
        <v>44773</v>
      </c>
      <c r="B33" s="28"/>
      <c r="C33" s="28"/>
    </row>
    <row r="35" spans="1:3" x14ac:dyDescent="0.45">
      <c r="A35" s="3"/>
    </row>
    <row r="36" spans="1:3" x14ac:dyDescent="0.45">
      <c r="A36" s="3" t="s">
        <v>653</v>
      </c>
    </row>
    <row r="37" spans="1:3" x14ac:dyDescent="0.45">
      <c r="A37" s="3"/>
    </row>
    <row r="38" spans="1:3" x14ac:dyDescent="0.45">
      <c r="A38" s="3"/>
    </row>
    <row r="39" spans="1:3" x14ac:dyDescent="0.45">
      <c r="A39" s="3"/>
    </row>
    <row r="40" spans="1:3" x14ac:dyDescent="0.45">
      <c r="A40" s="3"/>
    </row>
    <row r="41" spans="1:3" x14ac:dyDescent="0.45">
      <c r="A41" s="3"/>
    </row>
    <row r="42" spans="1:3" x14ac:dyDescent="0.45">
      <c r="A42" s="3"/>
    </row>
    <row r="43" spans="1:3" x14ac:dyDescent="0.45">
      <c r="A43" s="3"/>
    </row>
    <row r="44" spans="1:3" x14ac:dyDescent="0.45">
      <c r="A44" s="3"/>
    </row>
    <row r="45" spans="1:3" x14ac:dyDescent="0.45">
      <c r="A45" s="3"/>
    </row>
    <row r="46" spans="1:3" x14ac:dyDescent="0.45">
      <c r="A46" s="3"/>
    </row>
  </sheetData>
  <conditionalFormatting sqref="A3:C33">
    <cfRule type="expression" dxfId="3" priority="1">
      <formula>WEEKDAY($A3:$A33,2)&gt;5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859A-D172-4D6D-9B27-83B08E273136}">
  <dimension ref="A1:E19"/>
  <sheetViews>
    <sheetView zoomScale="145" zoomScaleNormal="145" workbookViewId="0">
      <selection activeCell="E6" sqref="E6"/>
    </sheetView>
  </sheetViews>
  <sheetFormatPr baseColWidth="10" defaultColWidth="9.06640625" defaultRowHeight="14.25" x14ac:dyDescent="0.45"/>
  <cols>
    <col min="1" max="1" width="13.46484375" customWidth="1"/>
    <col min="2" max="2" width="3" customWidth="1"/>
    <col min="3" max="3" width="27.33203125" bestFit="1" customWidth="1"/>
  </cols>
  <sheetData>
    <row r="1" spans="1:5" ht="15.75" x14ac:dyDescent="0.45">
      <c r="A1" s="5" t="s">
        <v>648</v>
      </c>
      <c r="C1" s="5" t="s">
        <v>649</v>
      </c>
      <c r="E1" s="18" t="s">
        <v>660</v>
      </c>
    </row>
    <row r="2" spans="1:5" x14ac:dyDescent="0.45">
      <c r="A2" t="s">
        <v>88</v>
      </c>
      <c r="C2" t="s">
        <v>220</v>
      </c>
      <c r="E2" t="s">
        <v>247</v>
      </c>
    </row>
    <row r="3" spans="1:5" x14ac:dyDescent="0.45">
      <c r="A3" t="s">
        <v>92</v>
      </c>
      <c r="C3" t="s">
        <v>218</v>
      </c>
      <c r="E3" t="s">
        <v>351</v>
      </c>
    </row>
    <row r="4" spans="1:5" x14ac:dyDescent="0.45">
      <c r="A4" t="s">
        <v>49</v>
      </c>
      <c r="C4" t="s">
        <v>228</v>
      </c>
      <c r="E4" t="s">
        <v>287</v>
      </c>
    </row>
    <row r="5" spans="1:5" x14ac:dyDescent="0.45">
      <c r="A5" t="s">
        <v>84</v>
      </c>
      <c r="C5" t="s">
        <v>227</v>
      </c>
    </row>
    <row r="6" spans="1:5" x14ac:dyDescent="0.45">
      <c r="A6" t="s">
        <v>56</v>
      </c>
      <c r="C6" t="s">
        <v>216</v>
      </c>
    </row>
    <row r="7" spans="1:5" x14ac:dyDescent="0.45">
      <c r="A7" t="s">
        <v>38</v>
      </c>
      <c r="C7" t="s">
        <v>223</v>
      </c>
    </row>
    <row r="8" spans="1:5" x14ac:dyDescent="0.45">
      <c r="A8" t="s">
        <v>63</v>
      </c>
      <c r="C8" t="s">
        <v>224</v>
      </c>
    </row>
    <row r="9" spans="1:5" x14ac:dyDescent="0.45">
      <c r="A9" t="s">
        <v>41</v>
      </c>
      <c r="C9" t="s">
        <v>229</v>
      </c>
    </row>
    <row r="10" spans="1:5" x14ac:dyDescent="0.45">
      <c r="A10" t="s">
        <v>98</v>
      </c>
      <c r="C10" t="s">
        <v>214</v>
      </c>
    </row>
    <row r="11" spans="1:5" x14ac:dyDescent="0.45">
      <c r="A11" t="s">
        <v>51</v>
      </c>
      <c r="C11" t="s">
        <v>225</v>
      </c>
    </row>
    <row r="12" spans="1:5" x14ac:dyDescent="0.45">
      <c r="A12" t="s">
        <v>43</v>
      </c>
      <c r="C12" t="s">
        <v>222</v>
      </c>
    </row>
    <row r="13" spans="1:5" x14ac:dyDescent="0.45">
      <c r="A13" t="s">
        <v>46</v>
      </c>
      <c r="C13" t="s">
        <v>215</v>
      </c>
    </row>
    <row r="14" spans="1:5" x14ac:dyDescent="0.45">
      <c r="A14" t="s">
        <v>145</v>
      </c>
      <c r="C14" t="s">
        <v>219</v>
      </c>
    </row>
    <row r="15" spans="1:5" x14ac:dyDescent="0.45">
      <c r="A15" t="s">
        <v>78</v>
      </c>
    </row>
    <row r="16" spans="1:5" x14ac:dyDescent="0.45">
      <c r="A16" t="s">
        <v>35</v>
      </c>
    </row>
    <row r="17" spans="1:1" x14ac:dyDescent="0.45">
      <c r="A17" t="s">
        <v>96</v>
      </c>
    </row>
    <row r="18" spans="1:1" x14ac:dyDescent="0.45">
      <c r="A18" t="s">
        <v>66</v>
      </c>
    </row>
    <row r="19" spans="1:1" x14ac:dyDescent="0.45">
      <c r="A19" t="s">
        <v>54</v>
      </c>
    </row>
  </sheetData>
  <sortState xmlns:xlrd2="http://schemas.microsoft.com/office/spreadsheetml/2017/richdata2" ref="A2:A19">
    <sortCondition ref="A9:A19"/>
  </sortState>
  <phoneticPr fontId="4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2EE75-ECC8-466F-A67F-F54D7D47029F}">
  <dimension ref="A1:L32"/>
  <sheetViews>
    <sheetView workbookViewId="0">
      <selection activeCell="C16" sqref="C16"/>
    </sheetView>
  </sheetViews>
  <sheetFormatPr baseColWidth="10" defaultColWidth="9.06640625" defaultRowHeight="14.25" x14ac:dyDescent="0.45"/>
  <cols>
    <col min="1" max="1" width="27.33203125" bestFit="1" customWidth="1"/>
    <col min="2" max="3" width="18.33203125" customWidth="1"/>
    <col min="4" max="5" width="19.46484375" customWidth="1"/>
    <col min="6" max="6" width="21.1328125" customWidth="1"/>
    <col min="7" max="7" width="23.86328125" customWidth="1"/>
    <col min="11" max="11" width="27.33203125" bestFit="1" customWidth="1"/>
  </cols>
  <sheetData>
    <row r="1" spans="1:12" x14ac:dyDescent="0.45">
      <c r="K1" s="5"/>
      <c r="L1" s="5"/>
    </row>
    <row r="2" spans="1:12" ht="24.75" customHeight="1" x14ac:dyDescent="0.45">
      <c r="A2" s="34" t="s">
        <v>644</v>
      </c>
      <c r="B2" s="35" t="s">
        <v>655</v>
      </c>
      <c r="C2" s="35" t="s">
        <v>656</v>
      </c>
      <c r="D2" s="35" t="s">
        <v>657</v>
      </c>
      <c r="E2" s="35" t="s">
        <v>658</v>
      </c>
      <c r="F2" s="35" t="s">
        <v>659</v>
      </c>
      <c r="L2" s="4"/>
    </row>
    <row r="3" spans="1:12" x14ac:dyDescent="0.45">
      <c r="A3" t="s">
        <v>214</v>
      </c>
      <c r="E3" s="4">
        <v>5.95</v>
      </c>
      <c r="F3" s="10">
        <f>B3*E3+C3*E3+D3*E3</f>
        <v>0</v>
      </c>
      <c r="L3" s="4"/>
    </row>
    <row r="4" spans="1:12" x14ac:dyDescent="0.45">
      <c r="A4" t="s">
        <v>215</v>
      </c>
      <c r="E4" s="4">
        <v>5.95</v>
      </c>
      <c r="F4" s="10">
        <f t="shared" ref="F4:F15" si="0">B4*E4+C4*E4+D4*E4</f>
        <v>0</v>
      </c>
      <c r="L4" s="4"/>
    </row>
    <row r="5" spans="1:12" x14ac:dyDescent="0.45">
      <c r="A5" t="s">
        <v>216</v>
      </c>
      <c r="E5" s="4">
        <v>5.95</v>
      </c>
      <c r="F5" s="10">
        <f t="shared" si="0"/>
        <v>0</v>
      </c>
      <c r="L5" s="4"/>
    </row>
    <row r="6" spans="1:12" x14ac:dyDescent="0.45">
      <c r="A6" t="s">
        <v>218</v>
      </c>
      <c r="E6" s="4">
        <v>9</v>
      </c>
      <c r="F6" s="10">
        <f t="shared" si="0"/>
        <v>0</v>
      </c>
      <c r="L6" s="4"/>
    </row>
    <row r="7" spans="1:12" x14ac:dyDescent="0.45">
      <c r="A7" t="s">
        <v>219</v>
      </c>
      <c r="E7" s="4">
        <v>9</v>
      </c>
      <c r="F7" s="10">
        <f t="shared" si="0"/>
        <v>0</v>
      </c>
      <c r="L7" s="4"/>
    </row>
    <row r="8" spans="1:12" x14ac:dyDescent="0.45">
      <c r="A8" t="s">
        <v>220</v>
      </c>
      <c r="E8" s="4">
        <v>9</v>
      </c>
      <c r="F8" s="10">
        <f t="shared" si="0"/>
        <v>0</v>
      </c>
      <c r="L8" s="4"/>
    </row>
    <row r="9" spans="1:12" x14ac:dyDescent="0.45">
      <c r="A9" t="s">
        <v>222</v>
      </c>
      <c r="E9" s="4">
        <v>7.5</v>
      </c>
      <c r="F9" s="10">
        <f t="shared" si="0"/>
        <v>0</v>
      </c>
      <c r="L9" s="4"/>
    </row>
    <row r="10" spans="1:12" x14ac:dyDescent="0.45">
      <c r="A10" t="s">
        <v>223</v>
      </c>
      <c r="E10" s="4">
        <v>7.5</v>
      </c>
      <c r="F10" s="10">
        <f t="shared" si="0"/>
        <v>0</v>
      </c>
      <c r="L10" s="4"/>
    </row>
    <row r="11" spans="1:12" x14ac:dyDescent="0.45">
      <c r="A11" t="s">
        <v>224</v>
      </c>
      <c r="E11" s="4">
        <v>7.5</v>
      </c>
      <c r="F11" s="10">
        <f t="shared" si="0"/>
        <v>0</v>
      </c>
      <c r="L11" s="4"/>
    </row>
    <row r="12" spans="1:12" x14ac:dyDescent="0.45">
      <c r="A12" t="s">
        <v>225</v>
      </c>
      <c r="E12" s="4">
        <v>8</v>
      </c>
      <c r="F12" s="10">
        <f t="shared" si="0"/>
        <v>0</v>
      </c>
      <c r="L12" s="4"/>
    </row>
    <row r="13" spans="1:12" x14ac:dyDescent="0.45">
      <c r="A13" t="s">
        <v>227</v>
      </c>
      <c r="E13" s="4">
        <v>12</v>
      </c>
      <c r="F13" s="10">
        <f t="shared" si="0"/>
        <v>0</v>
      </c>
      <c r="L13" s="4"/>
    </row>
    <row r="14" spans="1:12" x14ac:dyDescent="0.45">
      <c r="A14" t="s">
        <v>228</v>
      </c>
      <c r="E14" s="4">
        <v>12</v>
      </c>
      <c r="F14" s="10">
        <f t="shared" si="0"/>
        <v>0</v>
      </c>
      <c r="L14" s="4"/>
    </row>
    <row r="15" spans="1:12" x14ac:dyDescent="0.45">
      <c r="A15" t="s">
        <v>229</v>
      </c>
      <c r="E15" s="4">
        <v>12</v>
      </c>
      <c r="F15" s="10">
        <f t="shared" si="0"/>
        <v>0</v>
      </c>
    </row>
    <row r="16" spans="1:12" x14ac:dyDescent="0.45">
      <c r="B16" s="4"/>
      <c r="C16" s="4"/>
      <c r="D16" s="4"/>
      <c r="E16" s="4"/>
      <c r="F16" s="4"/>
    </row>
    <row r="20" spans="3:3" x14ac:dyDescent="0.45">
      <c r="C20" s="4"/>
    </row>
    <row r="21" spans="3:3" x14ac:dyDescent="0.45">
      <c r="C21" s="4"/>
    </row>
    <row r="22" spans="3:3" x14ac:dyDescent="0.45">
      <c r="C22" s="4"/>
    </row>
    <row r="23" spans="3:3" x14ac:dyDescent="0.45">
      <c r="C23" s="4"/>
    </row>
    <row r="24" spans="3:3" x14ac:dyDescent="0.45">
      <c r="C24" s="4"/>
    </row>
    <row r="25" spans="3:3" x14ac:dyDescent="0.45">
      <c r="C25" s="4"/>
    </row>
    <row r="26" spans="3:3" x14ac:dyDescent="0.45">
      <c r="C26" s="4"/>
    </row>
    <row r="27" spans="3:3" x14ac:dyDescent="0.45">
      <c r="C27" s="4"/>
    </row>
    <row r="28" spans="3:3" x14ac:dyDescent="0.45">
      <c r="C28" s="4"/>
    </row>
    <row r="29" spans="3:3" x14ac:dyDescent="0.45">
      <c r="C29" s="4"/>
    </row>
    <row r="30" spans="3:3" x14ac:dyDescent="0.45">
      <c r="C30" s="4"/>
    </row>
    <row r="31" spans="3:3" x14ac:dyDescent="0.45">
      <c r="C31" s="4"/>
    </row>
    <row r="32" spans="3:3" x14ac:dyDescent="0.45">
      <c r="C32" s="4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AFE94558C8954E9C7EF59C1451E831" ma:contentTypeVersion="4" ma:contentTypeDescription="Create a new document." ma:contentTypeScope="" ma:versionID="95a101127ebd8e8800d6ab30eabe60a7">
  <xsd:schema xmlns:xsd="http://www.w3.org/2001/XMLSchema" xmlns:xs="http://www.w3.org/2001/XMLSchema" xmlns:p="http://schemas.microsoft.com/office/2006/metadata/properties" xmlns:ns2="7f542ff3-fdc0-46c7-8569-db1317948423" targetNamespace="http://schemas.microsoft.com/office/2006/metadata/properties" ma:root="true" ma:fieldsID="f0df4a1a8fa1a799a67a02bcb034600a" ns2:_="">
    <xsd:import namespace="7f542ff3-fdc0-46c7-8569-db13179484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542ff3-fdc0-46c7-8569-db13179484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1E8C99E-79FD-477C-A226-5A9D9F358A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542ff3-fdc0-46c7-8569-db131794842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5BC7CBD-8522-4580-A6A2-97715F637FC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2B00AF-E1DE-406A-AC2F-64F557FB64EE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5</vt:i4>
      </vt:variant>
    </vt:vector>
  </HeadingPairs>
  <TitlesOfParts>
    <vt:vector size="17" baseType="lpstr">
      <vt:lpstr>Salespeople</vt:lpstr>
      <vt:lpstr>Sales</vt:lpstr>
      <vt:lpstr>Products</vt:lpstr>
      <vt:lpstr>Honey Orders</vt:lpstr>
      <vt:lpstr>Honey Sold</vt:lpstr>
      <vt:lpstr>Customers</vt:lpstr>
      <vt:lpstr>Customers Report</vt:lpstr>
      <vt:lpstr>Customer Counties</vt:lpstr>
      <vt:lpstr>Sales Report</vt:lpstr>
      <vt:lpstr>Market Report</vt:lpstr>
      <vt:lpstr>List data</vt:lpstr>
      <vt:lpstr>Market Stall Projections</vt:lpstr>
      <vt:lpstr>Cities</vt:lpstr>
      <vt:lpstr>Product_name</vt:lpstr>
      <vt:lpstr>Products</vt:lpstr>
      <vt:lpstr>Quantity</vt:lpstr>
      <vt:lpstr>Subtotal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2022-12-14T14:09:26Z</dcterms:created>
  <dcterms:modified xsi:type="dcterms:W3CDTF">2026-04-23T19:13:21Z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0x01010092AFE94558C8954E9C7EF59C1451E831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SetDate">
    <vt:lpwstr>2026-04-23T16:32:28Z</vt:lpwstr>
  </property>
  <property fmtid="{D5CDD505-2E9C-101B-9397-08002B2CF9AE}" pid="6" name="MSIP_Label_defa4170-0d19-0005-0004-bc88714345d2_Method">
    <vt:lpwstr>Standard</vt:lpwstr>
  </property>
  <property fmtid="{D5CDD505-2E9C-101B-9397-08002B2CF9AE}" pid="7" name="MSIP_Label_defa4170-0d19-0005-0004-bc88714345d2_Name">
    <vt:lpwstr>defa4170-0d19-0005-0004-bc88714345d2</vt:lpwstr>
  </property>
  <property fmtid="{D5CDD505-2E9C-101B-9397-08002B2CF9AE}" pid="8" name="MSIP_Label_defa4170-0d19-0005-0004-bc88714345d2_SiteId">
    <vt:lpwstr>262e0104-ac38-489e-ae2d-e9e792a70503</vt:lpwstr>
  </property>
  <property fmtid="{D5CDD505-2E9C-101B-9397-08002B2CF9AE}" pid="9" name="MSIP_Label_defa4170-0d19-0005-0004-bc88714345d2_ActionId">
    <vt:lpwstr>aa1682c1-636b-4385-88a2-563e060e022a</vt:lpwstr>
  </property>
  <property fmtid="{D5CDD505-2E9C-101B-9397-08002B2CF9AE}" pid="10" name="MSIP_Label_defa4170-0d19-0005-0004-bc88714345d2_ContentBits">
    <vt:lpwstr>0</vt:lpwstr>
  </property>
  <property fmtid="{D5CDD505-2E9C-101B-9397-08002B2CF9AE}" pid="11" name="MSIP_Label_defa4170-0d19-0005-0004-bc88714345d2_Tag">
    <vt:lpwstr>10, 3, 0, 1</vt:lpwstr>
  </property>
</Properties>
</file>